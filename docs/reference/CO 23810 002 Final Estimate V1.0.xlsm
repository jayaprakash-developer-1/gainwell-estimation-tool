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R:\PA MMIS\Project Documentation\CO 23810 002-24386 High Dollar IP Acute Care Analysis CLM\Estimate Documents\Final Estimate\"/>
    </mc:Choice>
  </mc:AlternateContent>
  <xr:revisionPtr revIDLastSave="0" documentId="13_ncr:1_{360B8E08-137F-494F-959F-1DFB0817580C}" xr6:coauthVersionLast="47" xr6:coauthVersionMax="47" xr10:uidLastSave="{00000000-0000-0000-0000-000000000000}"/>
  <bookViews>
    <workbookView xWindow="-108" yWindow="-108" windowWidth="23256" windowHeight="12456" tabRatio="844" xr2:uid="{00000000-000D-0000-FFFF-FFFF00000000}"/>
  </bookViews>
  <sheets>
    <sheet name="START" sheetId="15" r:id="rId1"/>
    <sheet name="InitialEstimate" sheetId="13" state="veryHidden" r:id="rId2"/>
    <sheet name="Dtl EstimateSummary" sheetId="8" state="veryHidden" r:id="rId3"/>
    <sheet name="Dtl SE_ModuleDoco" sheetId="5" state="veryHidden" r:id="rId4"/>
    <sheet name="Dtl BA_Considerations" sheetId="7" state="veryHidden" r:id="rId5"/>
    <sheet name="Dtl Collaboration_Quality" sheetId="9" state="veryHidden" r:id="rId6"/>
    <sheet name="FinalEstimate" sheetId="14" state="veryHidden" r:id="rId7"/>
    <sheet name="IntialEstWeightedValues" sheetId="12" state="veryHidden" r:id="rId8"/>
    <sheet name="DetailedEstWeightedValues" sheetId="2" state="veryHidden" r:id="rId9"/>
    <sheet name="Version History" sheetId="16" state="veryHidden" r:id="rId10"/>
  </sheets>
  <externalReferences>
    <externalReference r:id="rId11"/>
  </externalReferences>
  <definedNames>
    <definedName name="ExpCompTC">'Dtl BA_Considerations'!$E$34</definedName>
    <definedName name="ExpCompTCI">'Dtl BA_Considerations'!$E$35</definedName>
    <definedName name="ExpModTC">'Dtl BA_Considerations'!$D$34</definedName>
    <definedName name="ExpModTCI">'Dtl BA_Considerations'!$D$35</definedName>
    <definedName name="ExpSimpTC">'Dtl BA_Considerations'!$C$34</definedName>
    <definedName name="ExpSimpTCI">'Dtl BA_Considerations'!$C$35</definedName>
    <definedName name="ExpVCompTC">'Dtl BA_Considerations'!$F$34</definedName>
    <definedName name="ExpVCompTCI">'Dtl BA_Considerations'!$F$35</definedName>
    <definedName name="NewCompTC">'Dtl BA_Considerations'!$E$18</definedName>
    <definedName name="NewCompTCI">'Dtl BA_Considerations'!$E$19</definedName>
    <definedName name="NewModTC">'Dtl BA_Considerations'!$D$18</definedName>
    <definedName name="NewModTCI">'Dtl BA_Considerations'!$D$19</definedName>
    <definedName name="NewSimpTC">'Dtl BA_Considerations'!$C$18</definedName>
    <definedName name="NewSimpTCI">'Dtl BA_Considerations'!$C$19</definedName>
    <definedName name="NewVCompTC">'Dtl BA_Considerations'!$F$18</definedName>
    <definedName name="NewVCompTCI">'Dtl BA_Considerations'!$F$19</definedName>
    <definedName name="_xlnm.Print_Area" localSheetId="8">DetailedEstWeightedValues!$A$2:$J$107</definedName>
    <definedName name="_xlnm.Print_Area" localSheetId="4">'Dtl BA_Considerations'!$A$2:$K$68</definedName>
    <definedName name="_xlnm.Print_Area" localSheetId="5">'Dtl Collaboration_Quality'!$A$2:$K$51</definedName>
    <definedName name="_xlnm.Print_Area" localSheetId="2">'Dtl EstimateSummary'!$A$1:$F$123</definedName>
    <definedName name="_xlnm.Print_Area" localSheetId="3">'Dtl SE_ModuleDoco'!$A$2:$L$106</definedName>
    <definedName name="_xlnm.Print_Area" localSheetId="1">InitialEstimate!$A$2:$O$55</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BA_Considerations'!$E$26</definedName>
    <definedName name="ProfCompTCI">'Dtl BA_Considerations'!$E$27</definedName>
    <definedName name="ProfModTC">'Dtl BA_Considerations'!$D$26</definedName>
    <definedName name="ProfModTCI">'Dtl BA_Considerations'!$D$27</definedName>
    <definedName name="ProfSimpTC">'Dtl BA_Considerations'!$C$26</definedName>
    <definedName name="ProfSimpTCI">'Dtl BA_Considerations'!$C$27</definedName>
    <definedName name="ProfVCompTC">'Dtl BA_Considerations'!$F$26</definedName>
    <definedName name="ProfVCompTCI">'Dtl BA_Considerations'!$F$27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6" i="5" l="1"/>
  <c r="H86" i="5" s="1"/>
  <c r="J86" i="5" s="1"/>
  <c r="G85" i="5"/>
  <c r="H85" i="5" s="1"/>
  <c r="J85" i="5" s="1"/>
  <c r="G84" i="5"/>
  <c r="H84" i="5" s="1"/>
  <c r="J84" i="5" s="1"/>
  <c r="G39" i="5"/>
  <c r="H39" i="5" s="1"/>
  <c r="J39" i="5" s="1"/>
  <c r="G38" i="5"/>
  <c r="H38" i="5" s="1"/>
  <c r="J38" i="5" s="1"/>
  <c r="G13" i="13"/>
  <c r="G10" i="13" l="1"/>
  <c r="D96" i="8"/>
  <c r="D80" i="5" l="1"/>
  <c r="E80" i="5"/>
  <c r="F80" i="5"/>
  <c r="D75" i="5"/>
  <c r="E75" i="5"/>
  <c r="F75" i="5"/>
  <c r="D70" i="5"/>
  <c r="E70" i="5"/>
  <c r="F70" i="5"/>
  <c r="D65" i="5"/>
  <c r="E65" i="5"/>
  <c r="F65" i="5"/>
  <c r="D58" i="5"/>
  <c r="E58" i="5"/>
  <c r="F58" i="5"/>
  <c r="D52" i="5"/>
  <c r="E52" i="5"/>
  <c r="F52" i="5"/>
  <c r="B25" i="8"/>
  <c r="I80" i="5"/>
  <c r="I75" i="5"/>
  <c r="I65" i="5"/>
  <c r="I70" i="5"/>
  <c r="I58" i="5"/>
  <c r="I52" i="5"/>
  <c r="I29" i="9"/>
  <c r="K29" i="9" s="1"/>
  <c r="H29" i="9"/>
  <c r="G22" i="13"/>
  <c r="G21" i="13" l="1"/>
  <c r="G20" i="13" l="1"/>
  <c r="G19" i="13"/>
  <c r="G18" i="13"/>
  <c r="G23" i="5"/>
  <c r="H23" i="5" s="1"/>
  <c r="J23" i="5" s="1"/>
  <c r="G22" i="5"/>
  <c r="H22" i="5" s="1"/>
  <c r="J22" i="5" s="1"/>
  <c r="G21" i="5"/>
  <c r="H21" i="5" s="1"/>
  <c r="J21" i="5" s="1"/>
  <c r="G20" i="5"/>
  <c r="H20" i="5" s="1"/>
  <c r="J20" i="5" s="1"/>
  <c r="G19" i="5"/>
  <c r="H19" i="5" s="1"/>
  <c r="J19" i="5" s="1"/>
  <c r="G83" i="5"/>
  <c r="G82" i="5"/>
  <c r="G81" i="5"/>
  <c r="G77" i="5"/>
  <c r="G76" i="5"/>
  <c r="G72" i="5"/>
  <c r="G71" i="5"/>
  <c r="G67" i="5"/>
  <c r="G66" i="5"/>
  <c r="G62" i="5"/>
  <c r="G61" i="5"/>
  <c r="G60" i="5"/>
  <c r="G59" i="5"/>
  <c r="G58" i="5" s="1"/>
  <c r="G55" i="5"/>
  <c r="G54" i="5"/>
  <c r="G53" i="5"/>
  <c r="G52" i="5" s="1"/>
  <c r="G49" i="5"/>
  <c r="G48" i="5"/>
  <c r="G44" i="5"/>
  <c r="G43" i="5"/>
  <c r="G37" i="5"/>
  <c r="G36" i="5"/>
  <c r="G32" i="5"/>
  <c r="G31" i="5"/>
  <c r="G30" i="5"/>
  <c r="G29" i="5"/>
  <c r="G28" i="5"/>
  <c r="G27" i="5"/>
  <c r="G18" i="5"/>
  <c r="G17" i="5"/>
  <c r="G16" i="5"/>
  <c r="G15" i="5"/>
  <c r="G14" i="5"/>
  <c r="G13" i="5"/>
  <c r="B1" i="8"/>
  <c r="B1" i="5"/>
  <c r="B12" i="8"/>
  <c r="F15" i="7"/>
  <c r="E15" i="7"/>
  <c r="D15" i="7"/>
  <c r="C15" i="7"/>
  <c r="G75" i="5" l="1"/>
  <c r="G70" i="5"/>
  <c r="G80" i="5"/>
  <c r="G65" i="5"/>
  <c r="H28" i="9"/>
  <c r="I28" i="9" s="1"/>
  <c r="K28" i="9" s="1"/>
  <c r="G17" i="13"/>
  <c r="G16" i="13"/>
  <c r="H27" i="9" l="1"/>
  <c r="I27" i="9" s="1"/>
  <c r="K27" i="9" s="1"/>
  <c r="H21" i="9"/>
  <c r="H18" i="9"/>
  <c r="H15" i="9"/>
  <c r="A101" i="8" l="1"/>
  <c r="B83" i="8"/>
  <c r="B81" i="8"/>
  <c r="E29" i="14" l="1"/>
  <c r="E28" i="14"/>
  <c r="E10" i="14"/>
  <c r="K13" i="7"/>
  <c r="E83" i="8" s="1"/>
  <c r="K11" i="7"/>
  <c r="E81" i="8" l="1"/>
  <c r="G15" i="13" l="1"/>
  <c r="D67" i="8" l="1"/>
  <c r="D65" i="8"/>
  <c r="D63" i="8"/>
  <c r="D61" i="8"/>
  <c r="D59" i="8"/>
  <c r="D57" i="8"/>
  <c r="E47" i="5"/>
  <c r="F47" i="5"/>
  <c r="I47" i="5"/>
  <c r="D55" i="8" s="1"/>
  <c r="D47" i="5"/>
  <c r="E42" i="5"/>
  <c r="F42" i="5"/>
  <c r="I42" i="5"/>
  <c r="D53" i="8" s="1"/>
  <c r="D42" i="5"/>
  <c r="E35" i="5"/>
  <c r="F35" i="5"/>
  <c r="I35" i="5"/>
  <c r="D51" i="8" s="1"/>
  <c r="D35" i="5"/>
  <c r="E26" i="5"/>
  <c r="F26" i="5"/>
  <c r="I26" i="5"/>
  <c r="D49" i="8" s="1"/>
  <c r="D26" i="5"/>
  <c r="F12" i="5"/>
  <c r="I12" i="5"/>
  <c r="E12" i="5"/>
  <c r="D12" i="5"/>
  <c r="I11" i="5" l="1"/>
  <c r="D47" i="8"/>
  <c r="J12" i="9"/>
  <c r="J15" i="7"/>
  <c r="H26" i="9" l="1"/>
  <c r="I26" i="9" s="1"/>
  <c r="K26" i="9" s="1"/>
  <c r="B4" i="8" l="1"/>
  <c r="B1" i="12" l="1"/>
  <c r="B1" i="14"/>
  <c r="G14" i="13"/>
  <c r="G8" i="13" l="1"/>
  <c r="G9" i="13"/>
  <c r="G11" i="13"/>
  <c r="G12" i="13"/>
  <c r="G7" i="13"/>
  <c r="G23" i="13" l="1"/>
  <c r="B2" i="14" l="1"/>
  <c r="D87" i="8" l="1"/>
  <c r="D98" i="8"/>
  <c r="D97" i="8"/>
  <c r="D88" i="8"/>
  <c r="D86" i="8"/>
  <c r="E120" i="8" l="1"/>
  <c r="D120" i="8"/>
  <c r="C120" i="8"/>
  <c r="B120" i="8"/>
  <c r="D119" i="8"/>
  <c r="D118" i="8"/>
  <c r="I90" i="5"/>
  <c r="J61" i="7"/>
  <c r="E70" i="8"/>
  <c r="D72" i="8"/>
  <c r="D71" i="8"/>
  <c r="D70" i="8"/>
  <c r="C70" i="8"/>
  <c r="B70" i="8"/>
  <c r="D69" i="8" l="1"/>
  <c r="D117" i="8"/>
  <c r="E33" i="14" l="1"/>
  <c r="F32" i="14" s="1"/>
  <c r="E20" i="14"/>
  <c r="E19" i="14"/>
  <c r="E18" i="14"/>
  <c r="E14" i="14"/>
  <c r="E12" i="14"/>
  <c r="B1" i="9" l="1"/>
  <c r="A1" i="9"/>
  <c r="A1" i="8"/>
  <c r="A1" i="5"/>
  <c r="H33" i="7" l="1"/>
  <c r="H25" i="7"/>
  <c r="H17" i="7"/>
  <c r="I17" i="7" l="1"/>
  <c r="I25" i="7"/>
  <c r="I33" i="7"/>
  <c r="K33"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5" i="7" l="1"/>
  <c r="K17"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39" i="13"/>
  <c r="I37" i="13"/>
  <c r="G36" i="13"/>
  <c r="I36" i="13" s="1"/>
  <c r="G35" i="13"/>
  <c r="I35" i="13" s="1"/>
  <c r="B31" i="12"/>
  <c r="C31" i="12"/>
  <c r="D31" i="12"/>
  <c r="E31" i="12"/>
  <c r="B32" i="12"/>
  <c r="C32" i="12"/>
  <c r="D32" i="12"/>
  <c r="E32" i="12"/>
  <c r="B47" i="8" l="1"/>
  <c r="B46" i="13"/>
  <c r="G27" i="13"/>
  <c r="I27" i="13" s="1"/>
  <c r="G31" i="13" l="1"/>
  <c r="I31" i="13" s="1"/>
  <c r="H21" i="7" l="1"/>
  <c r="H24" i="9" l="1"/>
  <c r="I24" i="9" s="1"/>
  <c r="K24" i="9" s="1"/>
  <c r="H25" i="9"/>
  <c r="I25" i="9" s="1"/>
  <c r="K25" i="9" s="1"/>
  <c r="H42"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77" i="5" l="1"/>
  <c r="J77" i="5" s="1"/>
  <c r="H67" i="5"/>
  <c r="J67" i="5" s="1"/>
  <c r="H72" i="5"/>
  <c r="J72" i="5" s="1"/>
  <c r="F101" i="2"/>
  <c r="F109" i="2"/>
  <c r="C109" i="2"/>
  <c r="D109" i="2"/>
  <c r="C101" i="2"/>
  <c r="G100" i="2"/>
  <c r="G101" i="2" s="1"/>
  <c r="D101" i="2"/>
  <c r="H109" i="2"/>
  <c r="C94" i="2"/>
  <c r="D94" i="2"/>
  <c r="F94" i="2"/>
  <c r="C83" i="2"/>
  <c r="D83" i="2"/>
  <c r="F83" i="2"/>
  <c r="G83" i="2"/>
  <c r="D72" i="2"/>
  <c r="F72" i="2"/>
  <c r="C72" i="2"/>
  <c r="G109" i="2"/>
  <c r="H94" i="2"/>
  <c r="H101" i="2"/>
  <c r="H72" i="2"/>
  <c r="G72" i="2"/>
  <c r="G94" i="2"/>
  <c r="H83" i="2"/>
  <c r="H61" i="5" l="1"/>
  <c r="J61" i="5" s="1"/>
  <c r="H83" i="5"/>
  <c r="J83" i="5" s="1"/>
  <c r="H62" i="5"/>
  <c r="J62" i="5" s="1"/>
  <c r="B61" i="8"/>
  <c r="B63" i="8"/>
  <c r="B65" i="8"/>
  <c r="H76" i="5"/>
  <c r="H75" i="5" s="1"/>
  <c r="H81" i="5"/>
  <c r="H60" i="5"/>
  <c r="J60" i="5" s="1"/>
  <c r="H71" i="5"/>
  <c r="H70" i="5" s="1"/>
  <c r="H82" i="5"/>
  <c r="J82" i="5" s="1"/>
  <c r="J45" i="7"/>
  <c r="J10" i="7" s="1"/>
  <c r="H37" i="7"/>
  <c r="H29" i="7"/>
  <c r="I21" i="7"/>
  <c r="B61" i="2"/>
  <c r="H55" i="5" s="1"/>
  <c r="J55" i="5" s="1"/>
  <c r="H80" i="5" l="1"/>
  <c r="C67" i="8" s="1"/>
  <c r="B67" i="8"/>
  <c r="C63" i="8"/>
  <c r="C65" i="8"/>
  <c r="B59" i="8"/>
  <c r="J71" i="5"/>
  <c r="J70" i="5" s="1"/>
  <c r="J76" i="5"/>
  <c r="J75" i="5" s="1"/>
  <c r="H54" i="5"/>
  <c r="J54" i="5" s="1"/>
  <c r="K21" i="7"/>
  <c r="I37" i="7"/>
  <c r="K37" i="7" s="1"/>
  <c r="I29" i="7"/>
  <c r="J81" i="5"/>
  <c r="J80" i="5" l="1"/>
  <c r="E67" i="8" s="1"/>
  <c r="B57" i="8"/>
  <c r="E65" i="8"/>
  <c r="E63" i="8"/>
  <c r="K29" i="7"/>
  <c r="C52" i="2"/>
  <c r="D52" i="2"/>
  <c r="B52" i="2"/>
  <c r="C45" i="2"/>
  <c r="D45" i="2"/>
  <c r="B45" i="2"/>
  <c r="B38" i="2"/>
  <c r="B27" i="2"/>
  <c r="H44" i="5" l="1"/>
  <c r="J44" i="5" s="1"/>
  <c r="H49" i="5"/>
  <c r="J49" i="5" s="1"/>
  <c r="C27" i="2"/>
  <c r="H31" i="5" s="1"/>
  <c r="J31" i="5" s="1"/>
  <c r="F27" i="2"/>
  <c r="D27" i="2"/>
  <c r="B40" i="8"/>
  <c r="B39" i="8"/>
  <c r="B38" i="8"/>
  <c r="H32" i="5" l="1"/>
  <c r="J32" i="5" s="1"/>
  <c r="H27" i="2"/>
  <c r="G27" i="2"/>
  <c r="H28" i="5" s="1"/>
  <c r="J28" i="5" s="1"/>
  <c r="H32" i="9"/>
  <c r="I32" i="9" s="1"/>
  <c r="K32" i="9" s="1"/>
  <c r="H29" i="5" l="1"/>
  <c r="J29" i="5" s="1"/>
  <c r="H30" i="5"/>
  <c r="J30" i="5" s="1"/>
  <c r="H57" i="7" l="1"/>
  <c r="H56" i="7"/>
  <c r="H55" i="7"/>
  <c r="H53" i="7"/>
  <c r="H52" i="7"/>
  <c r="H51" i="7"/>
  <c r="H49" i="7"/>
  <c r="H48" i="7"/>
  <c r="H47" i="7"/>
  <c r="I48" i="7" l="1"/>
  <c r="H45" i="7"/>
  <c r="K48" i="7" l="1"/>
  <c r="H20" i="9" l="1"/>
  <c r="H17" i="9"/>
  <c r="H14" i="9"/>
  <c r="H12" i="9" l="1"/>
  <c r="D123" i="8" l="1"/>
  <c r="K23" i="9"/>
  <c r="I21" i="9"/>
  <c r="K21" i="9" s="1"/>
  <c r="I20" i="9"/>
  <c r="K20" i="9" s="1"/>
  <c r="I18" i="9"/>
  <c r="K18" i="9" s="1"/>
  <c r="I17" i="9"/>
  <c r="K17" i="9" s="1"/>
  <c r="I15" i="9"/>
  <c r="K15" i="9" s="1"/>
  <c r="I14" i="9"/>
  <c r="K14" i="9" l="1"/>
  <c r="I12" i="9"/>
  <c r="C123" i="8" s="1"/>
  <c r="B123" i="8"/>
  <c r="K12" i="9" l="1"/>
  <c r="E123" i="8" s="1"/>
  <c r="E8" i="8" s="1"/>
  <c r="C27" i="14"/>
  <c r="E27" i="14" s="1"/>
  <c r="F26" i="14" s="1"/>
  <c r="D45" i="8" l="1"/>
  <c r="H18" i="7" l="1"/>
  <c r="B86" i="8" l="1"/>
  <c r="D113" i="8"/>
  <c r="D114" i="8"/>
  <c r="D115" i="8"/>
  <c r="D109" i="8"/>
  <c r="D110" i="8"/>
  <c r="D111" i="8"/>
  <c r="D105" i="8"/>
  <c r="D106" i="8"/>
  <c r="D107" i="8"/>
  <c r="D91" i="8"/>
  <c r="D92" i="8"/>
  <c r="D93" i="8"/>
  <c r="I18" i="7"/>
  <c r="C86" i="8" l="1"/>
  <c r="D85" i="8"/>
  <c r="D90" i="8"/>
  <c r="D95" i="8"/>
  <c r="D101" i="8" l="1"/>
  <c r="D108" i="8" l="1"/>
  <c r="D112" i="8"/>
  <c r="D104" i="8"/>
  <c r="D103" i="8" l="1"/>
  <c r="D78" i="8" s="1"/>
  <c r="D45" i="7" l="1"/>
  <c r="E45" i="7"/>
  <c r="F45" i="7"/>
  <c r="C45" i="7"/>
  <c r="B101" i="8" l="1"/>
  <c r="H38" i="7"/>
  <c r="H36" i="7"/>
  <c r="H34" i="7"/>
  <c r="B88" i="8" s="1"/>
  <c r="H30" i="7"/>
  <c r="H28" i="7"/>
  <c r="H26" i="7"/>
  <c r="B87" i="8" s="1"/>
  <c r="H22" i="7"/>
  <c r="H20" i="7"/>
  <c r="H31" i="7" l="1"/>
  <c r="I31" i="7" s="1"/>
  <c r="K31" i="7" s="1"/>
  <c r="H39" i="7"/>
  <c r="I39" i="7" s="1"/>
  <c r="K39" i="7" s="1"/>
  <c r="H23" i="7"/>
  <c r="I23" i="7" s="1"/>
  <c r="K23" i="7" s="1"/>
  <c r="B113" i="8"/>
  <c r="I49" i="7"/>
  <c r="C113" i="8" s="1"/>
  <c r="B111" i="8"/>
  <c r="I56" i="7"/>
  <c r="C111" i="8" s="1"/>
  <c r="B106" i="8"/>
  <c r="I51" i="7"/>
  <c r="C106" i="8" s="1"/>
  <c r="I52" i="7"/>
  <c r="C110" i="8" s="1"/>
  <c r="B110" i="8"/>
  <c r="I57" i="7"/>
  <c r="C115" i="8" s="1"/>
  <c r="B115" i="8"/>
  <c r="B91" i="8"/>
  <c r="I20" i="7"/>
  <c r="I47" i="7"/>
  <c r="B105" i="8"/>
  <c r="B114" i="8"/>
  <c r="I53" i="7"/>
  <c r="C114" i="8" s="1"/>
  <c r="I22" i="7"/>
  <c r="B109" i="8"/>
  <c r="C109" i="8"/>
  <c r="B107" i="8"/>
  <c r="I55" i="7"/>
  <c r="C107" i="8" s="1"/>
  <c r="I34" i="7"/>
  <c r="C88" i="8" s="1"/>
  <c r="I36" i="7"/>
  <c r="C93" i="8" s="1"/>
  <c r="B93" i="8"/>
  <c r="I38" i="7"/>
  <c r="I28" i="7"/>
  <c r="C92" i="8" s="1"/>
  <c r="B92" i="8"/>
  <c r="I30" i="7"/>
  <c r="I26" i="7"/>
  <c r="C87" i="8" s="1"/>
  <c r="I42" i="7"/>
  <c r="K42" i="7" s="1"/>
  <c r="I15" i="7" l="1"/>
  <c r="H15" i="7"/>
  <c r="C96" i="8"/>
  <c r="C98" i="8"/>
  <c r="B96" i="8"/>
  <c r="B98" i="8"/>
  <c r="C97" i="8"/>
  <c r="B97" i="8"/>
  <c r="C90" i="8"/>
  <c r="I45" i="7"/>
  <c r="B90" i="8"/>
  <c r="C105" i="8"/>
  <c r="C91" i="8"/>
  <c r="B104" i="8"/>
  <c r="B85" i="8"/>
  <c r="B112" i="8"/>
  <c r="C85" i="8"/>
  <c r="B108" i="8"/>
  <c r="K57" i="7"/>
  <c r="E115" i="8" s="1"/>
  <c r="K20" i="7"/>
  <c r="K28" i="7"/>
  <c r="E92" i="8" s="1"/>
  <c r="E109" i="8"/>
  <c r="K49" i="7"/>
  <c r="E113" i="8" s="1"/>
  <c r="K52" i="7"/>
  <c r="E110" i="8" s="1"/>
  <c r="K36" i="7"/>
  <c r="E93" i="8" s="1"/>
  <c r="K34" i="7"/>
  <c r="K51" i="7"/>
  <c r="E106" i="8" s="1"/>
  <c r="E101" i="8"/>
  <c r="C101" i="8"/>
  <c r="K56" i="7"/>
  <c r="E111" i="8" s="1"/>
  <c r="K26" i="7"/>
  <c r="E87" i="8" s="1"/>
  <c r="K22" i="7"/>
  <c r="E96" i="8" s="1"/>
  <c r="K53" i="7"/>
  <c r="E114" i="8" s="1"/>
  <c r="K30" i="7"/>
  <c r="E97" i="8" s="1"/>
  <c r="K38" i="7"/>
  <c r="E98" i="8" s="1"/>
  <c r="K55" i="7"/>
  <c r="E107" i="8" s="1"/>
  <c r="K47" i="7"/>
  <c r="K18" i="7"/>
  <c r="E86" i="8" l="1"/>
  <c r="K15" i="7"/>
  <c r="C95" i="8"/>
  <c r="B95" i="8"/>
  <c r="E95" i="8"/>
  <c r="E91" i="8"/>
  <c r="E90" i="8" s="1"/>
  <c r="C21" i="14"/>
  <c r="E21" i="14" s="1"/>
  <c r="E88" i="8"/>
  <c r="E105" i="8"/>
  <c r="E104" i="8" s="1"/>
  <c r="K45" i="7"/>
  <c r="C23" i="14" s="1"/>
  <c r="E23" i="14" s="1"/>
  <c r="B103" i="8"/>
  <c r="C104" i="8"/>
  <c r="C112" i="8"/>
  <c r="E108" i="8"/>
  <c r="E112" i="8"/>
  <c r="C108" i="8"/>
  <c r="E85" i="8" l="1"/>
  <c r="E103" i="8"/>
  <c r="C103" i="8"/>
  <c r="C30" i="2" l="1"/>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66" i="5"/>
  <c r="H59" i="5"/>
  <c r="H53" i="5"/>
  <c r="H31" i="2"/>
  <c r="H38" i="2" s="1"/>
  <c r="H58" i="5" l="1"/>
  <c r="C59" i="8" s="1"/>
  <c r="H52" i="5"/>
  <c r="C57" i="8" s="1"/>
  <c r="H65" i="5"/>
  <c r="C61" i="8" s="1"/>
  <c r="H36" i="5"/>
  <c r="H13" i="5"/>
  <c r="H12" i="5" s="1"/>
  <c r="C47" i="8" l="1"/>
  <c r="H27" i="5"/>
  <c r="H26" i="5" s="1"/>
  <c r="C49" i="8" s="1"/>
  <c r="G26" i="5"/>
  <c r="H48" i="5"/>
  <c r="H47" i="5" s="1"/>
  <c r="C55" i="8" s="1"/>
  <c r="G47" i="5"/>
  <c r="H43" i="5"/>
  <c r="H42" i="5" s="1"/>
  <c r="C53" i="8" s="1"/>
  <c r="G42" i="5"/>
  <c r="B53" i="8" s="1"/>
  <c r="H37" i="5"/>
  <c r="G35" i="5"/>
  <c r="B51" i="8" s="1"/>
  <c r="J59" i="5"/>
  <c r="J58" i="5" s="1"/>
  <c r="J36" i="5"/>
  <c r="J66" i="5"/>
  <c r="J53" i="5"/>
  <c r="J52" i="5" s="1"/>
  <c r="J65" i="5" l="1"/>
  <c r="E61" i="8" s="1"/>
  <c r="B49" i="8"/>
  <c r="G11" i="5"/>
  <c r="J43" i="5"/>
  <c r="J42" i="5" s="1"/>
  <c r="E53" i="8" s="1"/>
  <c r="B55" i="8"/>
  <c r="J48" i="5"/>
  <c r="J47" i="5" s="1"/>
  <c r="E55" i="8" s="1"/>
  <c r="J37" i="5"/>
  <c r="J35" i="5" s="1"/>
  <c r="E51" i="8" s="1"/>
  <c r="H35" i="5"/>
  <c r="C51" i="8" s="1"/>
  <c r="E57" i="8"/>
  <c r="E59" i="8"/>
  <c r="J13" i="5"/>
  <c r="J12" i="5" s="1"/>
  <c r="J27" i="5"/>
  <c r="J26" i="5" s="1"/>
  <c r="E49" i="8" s="1"/>
  <c r="H11" i="5" l="1"/>
  <c r="J11" i="5"/>
  <c r="E47" i="8"/>
  <c r="C13" i="14" l="1"/>
  <c r="E13" i="14" s="1"/>
  <c r="H62" i="7"/>
  <c r="I62" i="7" l="1"/>
  <c r="I61" i="7" s="1"/>
  <c r="I10" i="7" s="1"/>
  <c r="B118" i="8"/>
  <c r="H61" i="7"/>
  <c r="H10" i="7" s="1"/>
  <c r="B119" i="8"/>
  <c r="C119" i="8" l="1"/>
  <c r="B117" i="8"/>
  <c r="B78" i="8" s="1"/>
  <c r="K62" i="7"/>
  <c r="E118" i="8" s="1"/>
  <c r="C118" i="8"/>
  <c r="C117" i="8" l="1"/>
  <c r="C78" i="8" s="1"/>
  <c r="E119" i="8"/>
  <c r="E117" i="8" s="1"/>
  <c r="E78" i="8" s="1"/>
  <c r="E7" i="8" s="1"/>
  <c r="K61" i="7"/>
  <c r="K10" i="7" s="1"/>
  <c r="G91" i="5"/>
  <c r="B71" i="8" s="1"/>
  <c r="C22" i="14" l="1"/>
  <c r="E22" i="14" s="1"/>
  <c r="F17" i="14" s="1"/>
  <c r="H91" i="5"/>
  <c r="G90" i="5"/>
  <c r="B72" i="8"/>
  <c r="B69" i="8" s="1"/>
  <c r="B45" i="8" s="1"/>
  <c r="J91" i="5" l="1"/>
  <c r="C71" i="8"/>
  <c r="C72" i="8"/>
  <c r="H90" i="5"/>
  <c r="C69" i="8" l="1"/>
  <c r="C45" i="8" s="1"/>
  <c r="J90" i="5"/>
  <c r="J9" i="5" s="1"/>
  <c r="E71" i="8"/>
  <c r="E72" i="8"/>
  <c r="E69" i="8" l="1"/>
  <c r="E45" i="8" s="1"/>
  <c r="E6" i="8" s="1"/>
  <c r="E9" i="8" s="1"/>
  <c r="E10" i="8" s="1"/>
  <c r="F10" i="8" s="1"/>
  <c r="C15" i="14"/>
  <c r="E15" i="14" s="1"/>
  <c r="F8" i="14" s="1"/>
  <c r="E6" i="14" s="1"/>
  <c r="E4" i="14" s="1"/>
  <c r="G30" i="13"/>
  <c r="I30" i="13" s="1"/>
  <c r="B44" i="13" s="1"/>
  <c r="G32" i="13" l="1"/>
  <c r="I32" i="13" s="1"/>
  <c r="G28" i="13"/>
  <c r="I28" i="13" s="1"/>
  <c r="G29" i="13"/>
  <c r="I29" i="13" s="1"/>
  <c r="B42" i="13" l="1"/>
  <c r="B43" i="13"/>
  <c r="G33" i="13"/>
  <c r="I33" i="13" s="1"/>
  <c r="B45" i="13" s="1"/>
  <c r="I38" i="13" l="1"/>
  <c r="I3" i="13" l="1"/>
  <c r="I39" i="13"/>
  <c r="I5"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B91" authorId="0" shapeId="0" xr:uid="{00000000-0006-0000-0200-000001000000}">
      <text>
        <r>
          <rPr>
            <b/>
            <sz val="9"/>
            <color indexed="81"/>
            <rFont val="Tahoma"/>
            <family val="2"/>
          </rPr>
          <t>Insert the amount of time taken to complete promotion activities in each of the environments namely Dev, Model, E2E &amp; Production.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1000000}">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B13" authorId="0" shapeId="0" xr:uid="{00000000-0006-0000-0300-000002000000}">
      <text>
        <r>
          <rPr>
            <b/>
            <sz val="9"/>
            <color indexed="81"/>
            <rFont val="Tahoma"/>
            <family val="2"/>
          </rPr>
          <t>Enter any remaining hours needed for updating the BDD.</t>
        </r>
      </text>
    </comment>
    <comment ref="B17"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8"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t>
        </r>
      </text>
    </comment>
    <comment ref="B19"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0"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7000000}">
      <text>
        <r>
          <rPr>
            <b/>
            <sz val="9"/>
            <color indexed="81"/>
            <rFont val="Tahoma"/>
            <family val="2"/>
          </rPr>
          <t>These hours are automatically calculated based on the number of test cases, iterations, complexity and BA experience level.</t>
        </r>
      </text>
    </comment>
    <comment ref="B22"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5"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6" authorId="0" shapeId="0" xr:uid="{00000000-0006-0000-0300-00000B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t>
        </r>
      </text>
    </comment>
    <comment ref="B27"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8"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0"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3"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4" authorId="0" shapeId="0" xr:uid="{00000000-0006-0000-0300-000012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t>
        </r>
      </text>
    </comment>
    <comment ref="B35"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6"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8"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9"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2" authorId="0" shapeId="0" xr:uid="{00000000-0006-0000-0300-000018000000}">
      <text>
        <r>
          <rPr>
            <b/>
            <sz val="9"/>
            <color indexed="81"/>
            <rFont val="Tahoma"/>
            <family val="2"/>
          </rPr>
          <t>This task has been disabled. Add the number of regression test cases to the task "Write System Test Cases".</t>
        </r>
      </text>
    </comment>
    <comment ref="B47"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8"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9"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1"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2"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3"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5"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6"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7" authorId="0" shapeId="0" xr:uid="{00000000-0006-0000-0300-000021000000}">
      <text>
        <r>
          <rPr>
            <b/>
            <sz val="9"/>
            <color indexed="81"/>
            <rFont val="Tahoma"/>
            <family val="2"/>
          </rPr>
          <t>Enter an "x" in the column that best represents the projected complexity of the reference change validation.</t>
        </r>
      </text>
    </comment>
    <comment ref="B62" authorId="3" shapeId="0" xr:uid="{00000000-0006-0000-0300-000022000000}">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List>
</comments>
</file>

<file path=xl/sharedStrings.xml><?xml version="1.0" encoding="utf-8"?>
<sst xmlns="http://schemas.openxmlformats.org/spreadsheetml/2006/main" count="848" uniqueCount="423">
  <si>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</si>
  <si>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</si>
  <si>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</si>
  <si>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</si>
  <si>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</si>
  <si>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</si>
  <si>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</si>
  <si>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</si>
  <si>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</si>
  <si>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</si>
  <si>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</si>
  <si>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</si>
  <si>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</si>
  <si>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</si>
  <si>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</si>
  <si>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</si>
  <si>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</si>
  <si>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</si>
  <si>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</si>
  <si>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</si>
  <si>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</si>
  <si>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</si>
  <si>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</si>
  <si>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</si>
  <si>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</si>
  <si>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</si>
  <si>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</si>
  <si>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</si>
  <si>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</si>
  <si>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</si>
  <si>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</si>
  <si>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</si>
  <si>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</si>
  <si>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</si>
  <si>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</si>
  <si>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</si>
  <si>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</si>
  <si>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</si>
  <si>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</si>
  <si>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</si>
  <si>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</si>
  <si>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</si>
  <si>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</si>
  <si>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</si>
  <si>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</si>
  <si>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</si>
  <si>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</si>
  <si>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</si>
  <si>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</si>
  <si>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</si>
  <si>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</si>
  <si>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</si>
  <si>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</si>
  <si>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</si>
  <si>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</si>
  <si>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</si>
  <si>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</si>
  <si>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</si>
  <si>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</si>
  <si>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</si>
  <si>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</si>
  <si>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</si>
  <si>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</si>
  <si>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</si>
  <si>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</si>
  <si>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</si>
  <si>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</si>
  <si>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</si>
  <si>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</si>
  <si>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</si>
  <si>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</si>
  <si>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</si>
  <si>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</si>
  <si>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</si>
  <si>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</si>
  <si>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</si>
  <si>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</si>
  <si>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</si>
  <si>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</si>
  <si>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</si>
  <si>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</si>
  <si>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</si>
  <si>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</si>
  <si>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</si>
  <si>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</si>
  <si>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</si>
  <si>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</si>
  <si>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</si>
  <si>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</si>
  <si>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</si>
  <si>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</si>
  <si>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</si>
  <si>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</si>
  <si>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</si>
  <si>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</si>
  <si>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</si>
  <si>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</si>
  <si>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</si>
  <si>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</si>
  <si>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</si>
  <si>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</si>
  <si>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</si>
  <si>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</si>
  <si>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</si>
  <si>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</si>
  <si>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</si>
  <si>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</si>
  <si>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</si>
  <si>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</si>
  <si>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</si>
  <si>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</si>
  <si>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</si>
  <si>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</si>
  <si>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</si>
  <si>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</si>
  <si>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</si>
  <si>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</si>
  <si>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</si>
  <si>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</si>
  <si>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</si>
  <si>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</si>
  <si>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</si>
  <si>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</si>
  <si>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</si>
  <si>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</si>
  <si>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</si>
  <si>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</si>
  <si>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</si>
  <si>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</si>
  <si>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</si>
  <si>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</si>
  <si>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</si>
  <si>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</si>
  <si>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</si>
  <si>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</si>
  <si>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</si>
  <si>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</si>
  <si>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</si>
  <si>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</si>
  <si>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</si>
  <si>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</si>
  <si>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</si>
  <si>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</si>
  <si>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</si>
  <si>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</si>
  <si>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</si>
  <si>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</si>
  <si>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</si>
  <si>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</si>
  <si>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</si>
  <si>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</si>
  <si>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</si>
  <si>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</si>
  <si>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</si>
  <si>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</si>
  <si>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</si>
  <si>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</si>
  <si>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</si>
  <si>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</si>
  <si>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</si>
  <si>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</si>
  <si>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</si>
  <si>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</si>
  <si>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</si>
  <si>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</si>
  <si>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</si>
  <si>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</si>
  <si>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</si>
  <si>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</si>
  <si>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</si>
  <si>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</si>
  <si>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</si>
  <si>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</si>
  <si>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t>Create Detail Estimate (hr)</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</si>
  <si>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</si>
  <si>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</si>
  <si>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</si>
  <si>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</si>
  <si>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</si>
  <si>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</si>
  <si>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</si>
  <si>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</si>
  <si>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</si>
  <si>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</si>
  <si>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</si>
  <si>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</si>
  <si>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</si>
  <si>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</si>
  <si>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Promotion (Includes E2E) &amp; System Documentation</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</si>
  <si>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</si>
  <si>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</si>
  <si>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</si>
  <si>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</si>
  <si>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</si>
  <si>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</si>
  <si>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</si>
  <si>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</si>
  <si>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</si>
  <si>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</si>
  <si>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</si>
  <si>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Select Number of Meetings/WPRs</t>
  </si>
  <si>
    <t>Meeting Duration (In Mins)</t>
  </si>
  <si>
    <t>Select Number of Participants</t>
  </si>
  <si>
    <t>Prep Time per Participant (In Mins)</t>
  </si>
  <si>
    <t>Time Spent on Estimates (Initial, Detail and Final):</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</si>
  <si>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</si>
  <si>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</si>
  <si>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</si>
  <si>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</si>
  <si>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</si>
  <si>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</si>
  <si>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</si>
  <si>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</si>
  <si>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</si>
  <si>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</si>
  <si>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</si>
  <si>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</si>
  <si>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</si>
  <si>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</si>
  <si>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</si>
  <si>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</si>
  <si>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</si>
  <si>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Promotion (Includes E2E) &amp; System Documentation:
</t>
    </r>
    <r>
      <rPr>
        <b/>
        <i/>
        <sz val="10"/>
        <color rgb="FFFF0000"/>
        <rFont val="Arial"/>
        <family val="2"/>
      </rPr>
      <t xml:space="preserve">Default: </t>
    </r>
    <r>
      <rPr>
        <i/>
        <sz val="10"/>
        <color rgb="FFFF0000"/>
        <rFont val="Arial"/>
        <family val="2"/>
      </rPr>
      <t>5% of Development.</t>
    </r>
  </si>
  <si>
    <r>
      <t xml:space="preserve">Production Validation:
</t>
    </r>
    <r>
      <rPr>
        <b/>
        <i/>
        <sz val="10"/>
        <color rgb="FFFF0000"/>
        <rFont val="Arial"/>
        <family val="2"/>
      </rPr>
      <t>Default:</t>
    </r>
    <r>
      <rPr>
        <i/>
        <sz val="10"/>
        <color rgb="FFFF0000"/>
        <rFont val="Arial"/>
        <family val="2"/>
      </rPr>
      <t xml:space="preserve"> 20% of System Testing.</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</si>
  <si>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</si>
  <si>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r>
      <t xml:space="preserve">Collaboration Quality (Client/Internal Meetings/Automation Test Collaboration):
</t>
    </r>
    <r>
      <rPr>
        <b/>
        <i/>
        <sz val="10"/>
        <color rgb="FFFF0000"/>
        <rFont val="Arial"/>
        <family val="2"/>
      </rPr>
      <t>Default:</t>
    </r>
    <r>
      <rPr>
        <i/>
        <sz val="10"/>
        <color rgb="FFFF0000"/>
        <rFont val="Arial"/>
        <family val="2"/>
      </rPr>
      <t xml:space="preserve"> 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Select Number of meetings, Meeting Duration, Number of Participants and Prep Time per Participant in columns J, K, L &amp; M.</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</si>
  <si>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</si>
  <si>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</si>
  <si>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</si>
  <si>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</si>
  <si>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</si>
  <si>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</si>
  <si>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</si>
  <si>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</si>
  <si>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</si>
  <si>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</si>
  <si>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</si>
  <si>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</si>
  <si>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</si>
  <si>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Promotion (Includes Dev, Model, E2E, UAT, Prod)</t>
  </si>
  <si>
    <t>Promotion Activities</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</si>
  <si>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</si>
  <si>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</si>
  <si>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</si>
  <si>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</si>
  <si>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</si>
  <si>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</si>
  <si>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</si>
  <si>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</si>
  <si>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</si>
  <si>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</si>
  <si>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</si>
  <si>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</si>
  <si>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</si>
  <si>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</si>
  <si>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</si>
  <si>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</si>
  <si>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Additional Effort</t>
  </si>
  <si>
    <t>Component Types</t>
  </si>
  <si>
    <t>Enter an "X" in the appropriate complexity column</t>
  </si>
  <si>
    <t>window 3</t>
  </si>
  <si>
    <t>report 1</t>
  </si>
  <si>
    <t>report 2</t>
  </si>
  <si>
    <t>report 3</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</si>
  <si>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</si>
  <si>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</si>
  <si>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</si>
  <si>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</si>
  <si>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</si>
  <si>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r>
      <rPr>
        <b/>
        <sz val="10"/>
        <rFont val="Arial"/>
        <family val="2"/>
      </rPr>
      <t>Client Meetings</t>
    </r>
    <r>
      <rPr>
        <sz val="10"/>
        <rFont val="Arial"/>
        <family val="2"/>
      </rPr>
      <t xml:space="preserve">
</t>
    </r>
    <r>
      <rPr>
        <b/>
        <sz val="10"/>
        <color rgb="FFFF0000"/>
        <rFont val="Arial"/>
        <family val="2"/>
      </rPr>
      <t>Note:</t>
    </r>
    <r>
      <rPr>
        <sz val="10"/>
        <color rgb="FFFF0000"/>
        <rFont val="Arial"/>
        <family val="2"/>
      </rPr>
      <t xml:space="preserve"> The remaining hours must be entered into this row since the meetings that are left over cannot be accurately determined</t>
    </r>
    <r>
      <rPr>
        <sz val="10"/>
        <rFont val="Arial"/>
        <family val="2"/>
      </rPr>
      <t xml:space="preserve">. </t>
    </r>
    <r>
      <rPr>
        <sz val="10"/>
        <color rgb="FFFF0000"/>
        <rFont val="Arial"/>
        <family val="2"/>
      </rPr>
      <t>Refer Row 17 &amp; 18 of Dtl Collaboration_Quality sheet and reduce as many hours as applicable and enter the value in C29.</t>
    </r>
  </si>
  <si>
    <t xml:space="preserve">Project Management Hours
</t>
  </si>
  <si>
    <t>Project Manager</t>
  </si>
  <si>
    <t>Collaboration Hours</t>
  </si>
  <si>
    <t>Role</t>
  </si>
  <si>
    <t>BA</t>
  </si>
  <si>
    <t>SE</t>
  </si>
  <si>
    <t>Create Detail Estimate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</si>
  <si>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</si>
  <si>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</si>
  <si>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</si>
  <si>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</si>
  <si>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r>
      <t xml:space="preserve">Internal Meetings </t>
    </r>
    <r>
      <rPr>
        <sz val="10"/>
        <rFont val="Arial"/>
        <family val="2"/>
      </rPr>
      <t xml:space="preserve">
</t>
    </r>
    <r>
      <rPr>
        <b/>
        <sz val="10"/>
        <color rgb="FFFF0000"/>
        <rFont val="Arial"/>
        <family val="2"/>
      </rPr>
      <t>Note:</t>
    </r>
    <r>
      <rPr>
        <sz val="10"/>
        <color rgb="FFFF0000"/>
        <rFont val="Arial"/>
        <family val="2"/>
      </rPr>
      <t xml:space="preserve"> The remaining hours must be entered into this row since the meetings that are yet to complete cannot be accurately determined. Refer Row 20 &amp; 21 of Dtl Collaboration_Quality sheet and reduce as many hours as applicable to enter the value in C28.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</si>
  <si>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</si>
  <si>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</si>
  <si>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</si>
  <si>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</si>
  <si>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</si>
  <si>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</si>
  <si>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</si>
  <si>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</si>
  <si>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</si>
  <si>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</si>
  <si>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</si>
  <si>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</si>
  <si>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</si>
  <si>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</si>
  <si>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</si>
  <si>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Documentation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</si>
  <si>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</si>
  <si>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Promotion Activities (Includes Dev, Model, E2E, UAT, Production)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</si>
  <si>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</si>
  <si>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and Test Results WPR from Row 14 of Dtl Collaboration_Quality sheet is used in  C27.</t>
    </r>
    <r>
      <rPr>
        <b/>
        <sz val="10"/>
        <rFont val="Arial"/>
        <family val="2"/>
      </rPr>
      <t xml:space="preserve">
</t>
    </r>
    <r>
      <rPr>
        <sz val="10"/>
        <color rgb="FFFF0000"/>
        <rFont val="Arial"/>
        <family val="2"/>
      </rPr>
      <t>If any adjustments are needed, please enter the hours in the cell D27 and enter the notes in "Remaining Hours/Adjusted Hours Notes" at the bottom of the sheet.</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</si>
  <si>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</si>
  <si>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</si>
  <si>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</si>
  <si>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</si>
  <si>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</si>
  <si>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</si>
  <si>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</si>
  <si>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</si>
  <si>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</si>
  <si>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</si>
  <si>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</si>
  <si>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</si>
  <si>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</si>
  <si>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</si>
  <si>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</si>
  <si>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</si>
  <si>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</si>
  <si>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</si>
  <si>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</si>
  <si>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</si>
  <si>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</si>
  <si>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</si>
  <si>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</si>
  <si>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</si>
  <si>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</si>
  <si>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</si>
  <si>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</si>
  <si>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</si>
  <si>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</si>
  <si>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</si>
  <si>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</si>
  <si>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</si>
  <si>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(Includes Dev, Model, E2E, UAT, Prod) and System Documentation
 Time is added to the Total in Dtl Estimate Summary</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</si>
  <si>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</si>
  <si>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</si>
  <si>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</si>
  <si>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</si>
  <si>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</si>
  <si>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</si>
  <si>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r>
      <t xml:space="preserve">Collaboration Quality (WPRs):
</t>
    </r>
    <r>
      <rPr>
        <b/>
        <i/>
        <sz val="10"/>
        <color rgb="FFFF0000"/>
        <rFont val="Arial"/>
        <family val="2"/>
      </rPr>
      <t>Default:</t>
    </r>
    <r>
      <rPr>
        <i/>
        <sz val="10"/>
        <color rgb="FFFF0000"/>
        <rFont val="Arial"/>
        <family val="2"/>
      </rPr>
      <t xml:space="preserve"> 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</si>
  <si>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</si>
  <si>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</si>
  <si>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</si>
  <si>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</si>
  <si>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</si>
  <si>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</si>
  <si>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</si>
  <si>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</si>
  <si>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</si>
  <si>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</si>
  <si>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</si>
  <si>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</si>
  <si>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</si>
  <si>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</si>
  <si>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</si>
  <si>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</si>
  <si>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</si>
  <si>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</si>
  <si>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</si>
  <si>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</si>
  <si>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</si>
  <si>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</si>
  <si>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</si>
  <si>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</si>
  <si>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</si>
  <si>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</si>
  <si>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</si>
  <si>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</si>
  <si>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</si>
  <si>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</si>
  <si>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</si>
  <si>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</si>
  <si>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</si>
  <si>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</si>
  <si>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Change length of table (T_CLM_CAS.AMT_ADJUSTMENT, 
T_CLM_ESC_ADJ_RSN.AMT_ADJUSTMENT)</t>
  </si>
  <si>
    <t>Change length of Columns ( T_CLM_ESC_ADJ_RSN.AMT_ADJUSTMENT, 
T_CLM_CAS.AMT_ADJUSTMENT)</t>
  </si>
  <si>
    <t>Unit Testing</t>
  </si>
  <si>
    <t xml:space="preserve">iCapture </t>
  </si>
  <si>
    <t>YES</t>
  </si>
  <si>
    <t>23810 002</t>
  </si>
  <si>
    <t>FADS/Fraud Capture</t>
  </si>
  <si>
    <t>EDW</t>
  </si>
  <si>
    <t>2.2.1</t>
  </si>
  <si>
    <t xml:space="preserve">Update the 
T_TMP_TMSIS_COT_HDR, 
T_TMP_TMSIS_CLT_HDR,
T_TMP_TMSIS_CIP_HDR,
T_TMP_TMSIS_CRX_HDR, PKG_TMSIS_CIP Body
</t>
  </si>
  <si>
    <t>Testing hours adjusted for T-MSIS</t>
  </si>
  <si>
    <t>xsd changes</t>
  </si>
  <si>
    <t>claimList.c</t>
  </si>
  <si>
    <t>claimList.h</t>
  </si>
  <si>
    <t>libclmcomm.so</t>
  </si>
  <si>
    <t>recompile modules that use claimList.c and claimList.h</t>
  </si>
  <si>
    <t>Claims</t>
  </si>
  <si>
    <t>queries to update the tables on aim00, aim01 schema for tables and audit tables (T_CLM_ESC_ADJ_RSN.AMT_ADJUSTMENT) - submit multiple forms in different environments</t>
  </si>
  <si>
    <t>Changes in table T_CLM_ESC_ADJ_RSN.AMT_ADJUSTMENT</t>
  </si>
  <si>
    <t>FraudCapture</t>
  </si>
  <si>
    <t xml:space="preserve">FraudCapture </t>
  </si>
  <si>
    <t>FADS</t>
  </si>
  <si>
    <t>Claims - 5, FraudCapture - 1</t>
  </si>
  <si>
    <t>Rama, Madhavi, Ravi</t>
  </si>
  <si>
    <t>Aakanksha, Shelly</t>
  </si>
  <si>
    <t>Claim</t>
  </si>
  <si>
    <t>Fraud Capture</t>
  </si>
  <si>
    <t>Ramalakshmi Avala, Madhavi Erukulla, Aakanksha, Amit Singh, Richard Means, Tracey Elias, Victor Jordan, Patrick Mulreany, Mary Griffin, Shelly Eby, Ravi Nagaraju</t>
  </si>
  <si>
    <t>Change length of table (T_CLM_ESC_ADJ_RSN.AMT_ADJUSTMENT)</t>
  </si>
  <si>
    <t>Change length of Columns ( T_CLM_ESC_ADJ_RSN.AMT_ADJUSTMENT)</t>
  </si>
  <si>
    <t>WINDOWS</t>
  </si>
  <si>
    <t>Training Env</t>
  </si>
  <si>
    <t xml:space="preserve">Row 20- 30 meetings are 30 mins each </t>
  </si>
  <si>
    <t>Henry Newton, Aakanksha</t>
  </si>
  <si>
    <t xml:space="preserve">iCapture - based on quote </t>
  </si>
  <si>
    <t>2.2.2.3</t>
  </si>
  <si>
    <t>2.2.2.3.1</t>
  </si>
  <si>
    <t>2.2.2.1</t>
  </si>
  <si>
    <t>2.2.2.1.2</t>
  </si>
  <si>
    <t>2.2.2.2.1</t>
  </si>
  <si>
    <t>Nothing is being promoted for FADS
Dev, MO, E2E, UAT, PROD - 1 hour for Fraud Capture(no code to be promoted, just DB changes) 5 hrs for Claims
ERWIN changes have been included under BA Considerations
Row 83 - quote need to be updated.</t>
  </si>
  <si>
    <t>Row 14 - 10 hrs needed for Training Environment update
Increased hours from initail is because claims Code/XSD changes were not estimated in the Initial Estimate</t>
  </si>
  <si>
    <t>X</t>
  </si>
  <si>
    <t>Row 18 - The test Cases are very complex and time consuming (Claims)
Row 26 - The Test Cases are very complex and time consuming.(Fraud Capture).  Added 24 additional hours
Row 17- Row 23 - Claims
Row 25 - 31 - FraudCapture
Row 47 - Claim Hrs - added 27.5 due to the volumn
Row 51 - FraudCapture Hours - Added 10 hours to bump up to needed 20.</t>
  </si>
  <si>
    <t xml:space="preserve">Line 62 - System documentation - 4 hours for FC, 6 hours for Claims, 2 hours ERWIN Changes
Fraud capture items are located in proficient section
Claims items are located in beginner section
</t>
  </si>
  <si>
    <t>EDW Client Meeting</t>
  </si>
  <si>
    <t>Row E13 - 150 hrs are reserved for iCapture.
Row D27 - Hours based on remaining 5 WPRs (1 Final Estimate, 2 Test Results (Claims and FraudCapture), 1 System Documentation, 1 Production Validation) - 1 hour needed for each WPR, 1/2 for preparation for 10 team members.
Row C28 (internal meetings) - 6 meeting with 10 team members lasting for 30 mins 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</si>
</sst>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0.000"/>
    <numFmt numFmtId="165" formatCode=";;;"/>
    <numFmt numFmtId="166" formatCode="0.0"/>
  </numFmts>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000000"/>
      <name val="Calibri"/>
      <family val="2"/>
    </font>
    <font>
      <b/>
      <sz val="10"/>
      <color theme="1"/>
      <name val="HP Simplified"/>
      <family val="2"/>
    </font>
    <font>
      <sz val="11"/>
      <color rgb="FFFF0000"/>
      <name val="Calibri"/>
      <family val="2"/>
    </font>
  </fonts>
  <fills count="18">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theme="7"/>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10" fillId="4" borderId="0" applyNumberFormat="0" applyBorder="0" applyAlignment="0" applyProtection="0"/>
    <xf numFmtId="0" fontId="2" fillId="0" borderId="0"/>
    <xf numFmtId="43" fontId="2" fillId="0" borderId="0" applyFont="0" applyFill="0" applyBorder="0" applyAlignment="0" applyProtection="0"/>
    <xf numFmtId="0" fontId="2" fillId="3" borderId="0" applyNumberFormat="0" applyBorder="0" applyAlignment="0" applyProtection="0"/>
    <xf numFmtId="0" fontId="33" fillId="0" borderId="0"/>
    <xf numFmtId="43" fontId="33" fillId="0" borderId="0" applyFont="0" applyFill="0" applyBorder="0" applyAlignment="0" applyProtection="0"/>
    <xf numFmtId="0" fontId="34" fillId="2" borderId="0" applyNumberFormat="0" applyBorder="0" applyAlignment="0" applyProtection="0"/>
    <xf numFmtId="0" fontId="1" fillId="0" borderId="0"/>
  </cellStyleXfs>
  <cellXfs count="478">
    <xf numFmtId="0" fontId="0" fillId="0" borderId="0" xfId="0"/>
    <xf numFmtId="0" fontId="5" fillId="0" borderId="0" xfId="0" applyFont="1"/>
    <xf numFmtId="0" fontId="16" fillId="0" borderId="0" xfId="0" applyFont="1" applyAlignment="1">
      <alignment horizontal="right" vertical="top"/>
    </xf>
    <xf numFmtId="0" fontId="16" fillId="0" borderId="0" xfId="0" applyFont="1" applyAlignment="1">
      <alignment horizontal="left" vertical="center"/>
    </xf>
    <xf numFmtId="2" fontId="13" fillId="6" borderId="0" xfId="0" applyNumberFormat="1" applyFont="1" applyFill="1" applyAlignment="1">
      <alignment horizontal="center" vertical="center"/>
    </xf>
    <xf numFmtId="0" fontId="16" fillId="0" borderId="0" xfId="0" applyFont="1" applyAlignment="1">
      <alignment horizontal="left" vertical="center" wrapText="1"/>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13" fillId="0" borderId="0" xfId="0" applyFont="1" applyProtection="1">
      <protection locked="0"/>
    </xf>
    <xf numFmtId="0" fontId="21" fillId="0" borderId="0" xfId="0" applyFont="1" applyAlignment="1">
      <alignment wrapText="1"/>
    </xf>
    <xf numFmtId="1" fontId="18" fillId="0" borderId="1" xfId="4" applyNumberFormat="1" applyFont="1" applyFill="1" applyBorder="1" applyAlignment="1" applyProtection="1">
      <alignment horizontal="center" vertical="center"/>
    </xf>
    <xf numFmtId="0" fontId="5" fillId="0" borderId="0" xfId="6" applyFont="1"/>
    <xf numFmtId="43" fontId="21" fillId="0" borderId="0" xfId="7" applyFont="1" applyProtection="1"/>
    <xf numFmtId="0" fontId="2" fillId="0" borderId="1" xfId="6" applyBorder="1"/>
    <xf numFmtId="0" fontId="2" fillId="0" borderId="0" xfId="6"/>
    <xf numFmtId="0" fontId="2" fillId="10" borderId="0" xfId="6" applyFill="1"/>
    <xf numFmtId="0" fontId="20" fillId="0" borderId="1" xfId="6" applyFont="1" applyBorder="1" applyAlignment="1">
      <alignment horizontal="left" vertical="top"/>
    </xf>
    <xf numFmtId="0" fontId="30" fillId="0" borderId="1" xfId="6" applyFont="1" applyBorder="1"/>
    <xf numFmtId="0" fontId="30" fillId="0" borderId="1" xfId="6" applyFont="1" applyBorder="1" applyAlignment="1">
      <alignment wrapText="1"/>
    </xf>
    <xf numFmtId="0" fontId="30" fillId="7" borderId="1" xfId="6" applyFont="1" applyFill="1" applyBorder="1"/>
    <xf numFmtId="2" fontId="2" fillId="0" borderId="1" xfId="6" applyNumberFormat="1" applyBorder="1" applyAlignment="1">
      <alignment horizontal="left" vertical="top"/>
    </xf>
    <xf numFmtId="2" fontId="2" fillId="7" borderId="1" xfId="6" applyNumberFormat="1" applyFill="1" applyBorder="1" applyAlignment="1">
      <alignment horizontal="left" vertical="top"/>
    </xf>
    <xf numFmtId="0" fontId="2" fillId="0" borderId="1" xfId="6" applyBorder="1" applyAlignment="1">
      <alignment horizontal="left" vertical="top"/>
    </xf>
    <xf numFmtId="0" fontId="2" fillId="0" borderId="1" xfId="6" applyBorder="1" applyAlignment="1">
      <alignment horizontal="left" vertical="top" wrapText="1"/>
    </xf>
    <xf numFmtId="2" fontId="21" fillId="0" borderId="1" xfId="7" applyNumberFormat="1" applyFont="1" applyFill="1" applyBorder="1" applyAlignment="1" applyProtection="1">
      <alignment horizontal="left" vertical="top" wrapText="1"/>
    </xf>
    <xf numFmtId="43" fontId="20" fillId="0" borderId="1" xfId="7" applyFont="1" applyFill="1" applyBorder="1" applyAlignment="1" applyProtection="1">
      <alignment horizontal="left" vertical="top" wrapText="1"/>
    </xf>
    <xf numFmtId="2" fontId="23" fillId="0" borderId="1" xfId="8" applyNumberFormat="1" applyFont="1" applyFill="1" applyBorder="1" applyAlignment="1" applyProtection="1">
      <alignment horizontal="left" vertical="top"/>
    </xf>
    <xf numFmtId="2" fontId="21" fillId="0" borderId="1" xfId="7" applyNumberFormat="1" applyFont="1" applyBorder="1" applyAlignment="1" applyProtection="1">
      <alignment horizontal="left" vertical="top" wrapText="1"/>
    </xf>
    <xf numFmtId="43" fontId="20" fillId="0" borderId="1" xfId="7" applyFont="1" applyBorder="1" applyAlignment="1" applyProtection="1">
      <alignment horizontal="left" vertical="top" wrapText="1"/>
    </xf>
    <xf numFmtId="0" fontId="5" fillId="0" borderId="0" xfId="0" applyFont="1" applyAlignment="1">
      <alignment vertical="top"/>
    </xf>
    <xf numFmtId="43" fontId="4" fillId="0" borderId="0" xfId="1" applyFont="1" applyProtection="1"/>
    <xf numFmtId="43" fontId="4" fillId="0" borderId="0" xfId="1" applyFont="1" applyAlignment="1" applyProtection="1">
      <alignment vertical="top" wrapText="1"/>
    </xf>
    <xf numFmtId="43"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43"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6" borderId="0" xfId="3" applyFont="1" applyFill="1" applyBorder="1" applyAlignment="1" applyProtection="1">
      <alignment horizontal="center" vertical="top"/>
    </xf>
    <xf numFmtId="0" fontId="39" fillId="6" borderId="0" xfId="3" applyFont="1" applyFill="1" applyBorder="1" applyAlignment="1" applyProtection="1">
      <alignment horizontal="center" vertical="top" wrapText="1"/>
    </xf>
    <xf numFmtId="43" fontId="44" fillId="0" borderId="0" xfId="0" applyNumberFormat="1" applyFont="1" applyAlignment="1">
      <alignment horizontal="right" vertical="top"/>
    </xf>
    <xf numFmtId="43" fontId="45" fillId="6" borderId="0" xfId="0" applyNumberFormat="1" applyFont="1" applyFill="1" applyAlignment="1">
      <alignment horizontal="right" vertical="top"/>
    </xf>
    <xf numFmtId="0" fontId="46" fillId="0" borderId="0" xfId="0" applyFont="1"/>
    <xf numFmtId="43" fontId="35" fillId="6" borderId="0" xfId="0" applyNumberFormat="1" applyFont="1" applyFill="1" applyAlignment="1">
      <alignment horizontal="right" vertical="top"/>
    </xf>
    <xf numFmtId="0" fontId="5" fillId="0" borderId="0" xfId="6"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43"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43" fontId="4" fillId="0" borderId="0" xfId="1" applyFont="1" applyAlignment="1" applyProtection="1">
      <alignment horizontal="left" indent="1"/>
    </xf>
    <xf numFmtId="164" fontId="4" fillId="0" borderId="0" xfId="0" applyNumberFormat="1" applyFont="1"/>
    <xf numFmtId="43" fontId="5" fillId="0" borderId="0" xfId="1" applyFont="1" applyProtection="1"/>
    <xf numFmtId="43" fontId="11" fillId="0" borderId="0" xfId="1" applyFont="1" applyFill="1" applyProtection="1"/>
    <xf numFmtId="43" fontId="5" fillId="0" borderId="0" xfId="1" applyFont="1" applyAlignment="1" applyProtection="1">
      <alignment wrapText="1"/>
    </xf>
    <xf numFmtId="43" fontId="5" fillId="0" borderId="0" xfId="1" applyFont="1" applyAlignment="1" applyProtection="1">
      <alignment horizontal="center"/>
    </xf>
    <xf numFmtId="43" fontId="5" fillId="0" borderId="0" xfId="10" applyFont="1" applyAlignment="1" applyProtection="1">
      <alignment horizontal="left" vertical="top" wrapText="1"/>
    </xf>
    <xf numFmtId="43" fontId="4" fillId="0" borderId="0" xfId="10" applyFont="1" applyAlignment="1" applyProtection="1">
      <alignment horizontal="left" vertical="top" wrapText="1" indent="1"/>
    </xf>
    <xf numFmtId="43" fontId="4" fillId="0" borderId="0" xfId="10" applyFont="1" applyAlignment="1" applyProtection="1">
      <alignment horizontal="left" vertical="top" wrapText="1"/>
    </xf>
    <xf numFmtId="43" fontId="4" fillId="0" borderId="0" xfId="10" applyFont="1" applyFill="1" applyAlignment="1" applyProtection="1">
      <alignment horizontal="left" vertical="top" wrapText="1" indent="1"/>
    </xf>
    <xf numFmtId="43" fontId="5" fillId="0" borderId="7" xfId="1" applyFont="1" applyBorder="1" applyProtection="1"/>
    <xf numFmtId="43" fontId="4" fillId="0" borderId="0" xfId="1" applyFont="1" applyFill="1" applyAlignment="1" applyProtection="1">
      <alignment horizontal="left" wrapText="1" indent="1"/>
    </xf>
    <xf numFmtId="43" fontId="5" fillId="0" borderId="0" xfId="1" applyFont="1" applyAlignment="1" applyProtection="1">
      <alignment horizontal="left" wrapText="1" indent="1"/>
    </xf>
    <xf numFmtId="43" fontId="4" fillId="0" borderId="2" xfId="1" applyFont="1" applyBorder="1" applyProtection="1"/>
    <xf numFmtId="43" fontId="5" fillId="0" borderId="0" xfId="1" applyFont="1" applyAlignment="1" applyProtection="1">
      <alignment horizontal="left" wrapText="1"/>
    </xf>
    <xf numFmtId="43" fontId="4" fillId="0" borderId="0" xfId="1" applyFont="1" applyAlignment="1" applyProtection="1"/>
    <xf numFmtId="43" fontId="4" fillId="0" borderId="0" xfId="1" applyFont="1" applyAlignment="1" applyProtection="1">
      <alignment horizontal="center"/>
    </xf>
    <xf numFmtId="9" fontId="4" fillId="0" borderId="0" xfId="2" applyFont="1" applyProtection="1"/>
    <xf numFmtId="43" fontId="4" fillId="0" borderId="2" xfId="1" applyFont="1" applyFill="1" applyBorder="1" applyProtection="1"/>
    <xf numFmtId="43" fontId="12" fillId="0" borderId="0" xfId="1" applyFont="1" applyFill="1" applyProtection="1"/>
    <xf numFmtId="43"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7" borderId="0" xfId="0" applyFont="1" applyFill="1" applyAlignment="1">
      <alignment horizontal="right" vertical="top"/>
    </xf>
    <xf numFmtId="43" fontId="4" fillId="7" borderId="0" xfId="1" applyFont="1" applyFill="1" applyProtection="1"/>
    <xf numFmtId="43" fontId="4" fillId="0" borderId="0" xfId="2" applyNumberFormat="1" applyFont="1" applyProtection="1"/>
    <xf numFmtId="43" fontId="4" fillId="0" borderId="0" xfId="1" applyFont="1" applyAlignment="1" applyProtection="1">
      <alignment horizontal="left" wrapText="1"/>
    </xf>
    <xf numFmtId="43" fontId="4" fillId="0" borderId="0" xfId="1" applyFont="1" applyAlignment="1" applyProtection="1">
      <alignment horizontal="left" wrapText="1" indent="2"/>
    </xf>
    <xf numFmtId="43" fontId="4" fillId="0" borderId="0" xfId="1" applyFont="1" applyBorder="1" applyProtection="1"/>
    <xf numFmtId="43" fontId="4" fillId="0" borderId="0" xfId="1" applyFont="1" applyAlignment="1" applyProtection="1">
      <alignment wrapText="1"/>
    </xf>
    <xf numFmtId="0" fontId="40" fillId="6" borderId="0" xfId="0" applyFont="1" applyFill="1" applyAlignment="1">
      <alignment horizontal="left" vertical="top"/>
    </xf>
    <xf numFmtId="43" fontId="40" fillId="6" borderId="0" xfId="0" applyNumberFormat="1" applyFont="1" applyFill="1" applyAlignment="1">
      <alignment horizontal="right" vertical="top"/>
    </xf>
    <xf numFmtId="43" fontId="21" fillId="0" borderId="0" xfId="0" applyNumberFormat="1" applyFont="1"/>
    <xf numFmtId="43" fontId="21" fillId="0" borderId="0" xfId="0" applyNumberFormat="1" applyFont="1" applyProtection="1">
      <protection locked="0"/>
    </xf>
    <xf numFmtId="43" fontId="0" fillId="0" borderId="0" xfId="0" applyNumberFormat="1"/>
    <xf numFmtId="0" fontId="4" fillId="0" borderId="0" xfId="6" applyFont="1" applyAlignment="1">
      <alignment horizontal="left" vertical="top" wrapText="1"/>
    </xf>
    <xf numFmtId="0" fontId="38" fillId="0" borderId="0" xfId="0" applyFont="1" applyAlignment="1">
      <alignment horizontal="left" vertical="top" wrapText="1"/>
    </xf>
    <xf numFmtId="0" fontId="38" fillId="0" borderId="0" xfId="6" applyFont="1" applyAlignment="1">
      <alignment vertical="top"/>
    </xf>
    <xf numFmtId="43" fontId="4" fillId="0" borderId="0" xfId="7" applyFont="1" applyAlignment="1" applyProtection="1">
      <alignment vertical="top"/>
    </xf>
    <xf numFmtId="0" fontId="35" fillId="0" borderId="0" xfId="6" applyFont="1" applyAlignment="1">
      <alignment vertical="top"/>
    </xf>
    <xf numFmtId="0" fontId="4" fillId="0" borderId="0" xfId="6" applyFont="1" applyAlignment="1">
      <alignment horizontal="left" vertical="top"/>
    </xf>
    <xf numFmtId="0" fontId="4" fillId="0" borderId="0" xfId="6" applyFont="1" applyAlignment="1">
      <alignment vertical="top"/>
    </xf>
    <xf numFmtId="0" fontId="5" fillId="0" borderId="0" xfId="6" applyFont="1" applyAlignment="1">
      <alignment vertical="top" wrapText="1"/>
    </xf>
    <xf numFmtId="0" fontId="5" fillId="0" borderId="29" xfId="6" applyFont="1" applyBorder="1" applyAlignment="1">
      <alignment horizontal="center" vertical="top"/>
    </xf>
    <xf numFmtId="0" fontId="24" fillId="0" borderId="30" xfId="6" applyFont="1" applyBorder="1" applyAlignment="1">
      <alignment horizontal="center" vertical="top"/>
    </xf>
    <xf numFmtId="0" fontId="24" fillId="0" borderId="31" xfId="6" applyFont="1" applyBorder="1" applyAlignment="1">
      <alignment horizontal="center" vertical="top"/>
    </xf>
    <xf numFmtId="0" fontId="38" fillId="0" borderId="32" xfId="6" applyFont="1" applyBorder="1" applyAlignment="1">
      <alignment vertical="top"/>
    </xf>
    <xf numFmtId="3" fontId="38" fillId="0" borderId="16" xfId="6" applyNumberFormat="1" applyFont="1" applyBorder="1" applyAlignment="1">
      <alignment vertical="top"/>
    </xf>
    <xf numFmtId="3" fontId="38" fillId="0" borderId="17" xfId="6" applyNumberFormat="1" applyFont="1" applyBorder="1" applyAlignment="1">
      <alignment vertical="top"/>
    </xf>
    <xf numFmtId="0" fontId="38" fillId="0" borderId="22" xfId="6" applyFont="1" applyBorder="1" applyAlignment="1">
      <alignment vertical="top"/>
    </xf>
    <xf numFmtId="3" fontId="38" fillId="0" borderId="1" xfId="6" applyNumberFormat="1" applyFont="1" applyBorder="1" applyAlignment="1">
      <alignment vertical="top"/>
    </xf>
    <xf numFmtId="3" fontId="38" fillId="0" borderId="24" xfId="6" applyNumberFormat="1" applyFont="1" applyBorder="1" applyAlignment="1">
      <alignment vertical="top"/>
    </xf>
    <xf numFmtId="3" fontId="4" fillId="0" borderId="24" xfId="6"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43"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41" fontId="37" fillId="0" borderId="0" xfId="4" applyNumberFormat="1" applyFont="1" applyFill="1" applyBorder="1" applyAlignment="1" applyProtection="1">
      <alignment horizontal="center" vertical="top"/>
    </xf>
    <xf numFmtId="43" fontId="4" fillId="0" borderId="0" xfId="0" applyNumberFormat="1" applyFont="1" applyAlignment="1">
      <alignment vertical="top"/>
    </xf>
    <xf numFmtId="41"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43" fontId="5" fillId="0" borderId="0" xfId="1" applyFont="1" applyBorder="1" applyAlignment="1" applyProtection="1">
      <alignment horizontal="center" vertical="top" wrapText="1"/>
    </xf>
    <xf numFmtId="43" fontId="5" fillId="0" borderId="0" xfId="1" quotePrefix="1" applyFont="1" applyBorder="1" applyAlignment="1" applyProtection="1">
      <alignment horizontal="center" vertical="top" wrapText="1"/>
    </xf>
    <xf numFmtId="43" fontId="5" fillId="0" borderId="0" xfId="1" applyFont="1" applyAlignment="1" applyProtection="1">
      <alignment horizontal="center" vertical="top" wrapText="1"/>
    </xf>
    <xf numFmtId="43" fontId="5" fillId="0" borderId="0" xfId="1" quotePrefix="1" applyFont="1" applyAlignment="1" applyProtection="1">
      <alignment horizontal="center" vertical="top" wrapText="1"/>
    </xf>
    <xf numFmtId="0" fontId="35" fillId="6"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43" fontId="5" fillId="0" borderId="0" xfId="1" applyFont="1" applyFill="1" applyAlignment="1" applyProtection="1">
      <alignment horizontal="center" vertical="top" wrapText="1"/>
    </xf>
    <xf numFmtId="43"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43"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41"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43"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6" borderId="0" xfId="0" applyFont="1" applyFill="1" applyAlignment="1">
      <alignment vertical="top"/>
    </xf>
    <xf numFmtId="0" fontId="35" fillId="6" borderId="0" xfId="0" applyFont="1" applyFill="1" applyAlignment="1">
      <alignment horizontal="center" vertical="top"/>
    </xf>
    <xf numFmtId="0" fontId="38" fillId="6" borderId="0" xfId="0" applyFont="1" applyFill="1" applyAlignment="1">
      <alignment horizontal="center" vertical="top"/>
    </xf>
    <xf numFmtId="2" fontId="38" fillId="6" borderId="0" xfId="0" applyNumberFormat="1" applyFont="1" applyFill="1" applyAlignment="1">
      <alignment horizontal="center" vertical="top"/>
    </xf>
    <xf numFmtId="165" fontId="4" fillId="0" borderId="0" xfId="0" applyNumberFormat="1" applyFont="1" applyAlignment="1">
      <alignment horizontal="center" vertical="top"/>
    </xf>
    <xf numFmtId="43" fontId="35" fillId="6" borderId="9" xfId="0" applyNumberFormat="1" applyFont="1" applyFill="1" applyBorder="1" applyAlignment="1">
      <alignment horizontal="right" vertical="top"/>
    </xf>
    <xf numFmtId="43" fontId="38" fillId="0" borderId="1" xfId="0" applyNumberFormat="1" applyFont="1" applyBorder="1" applyAlignment="1">
      <alignment vertical="top"/>
    </xf>
    <xf numFmtId="0" fontId="38" fillId="0" borderId="0" xfId="0" applyFont="1" applyAlignment="1" applyProtection="1">
      <alignment horizontal="left" vertical="top"/>
      <protection locked="0"/>
    </xf>
    <xf numFmtId="43" fontId="38" fillId="0" borderId="0" xfId="4" applyNumberFormat="1" applyFont="1" applyFill="1" applyBorder="1" applyAlignment="1" applyProtection="1">
      <alignment vertical="top"/>
      <protection locked="0"/>
    </xf>
    <xf numFmtId="43" fontId="38" fillId="0" borderId="0" xfId="0" applyNumberFormat="1" applyFont="1" applyAlignment="1">
      <alignment vertical="top"/>
    </xf>
    <xf numFmtId="43" fontId="38" fillId="0" borderId="0" xfId="0" applyNumberFormat="1" applyFont="1" applyAlignment="1" applyProtection="1">
      <alignment vertical="top"/>
      <protection locked="0"/>
    </xf>
    <xf numFmtId="43"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43" fontId="38" fillId="0" borderId="9" xfId="4" applyNumberFormat="1" applyFont="1" applyFill="1" applyBorder="1" applyAlignment="1" applyProtection="1">
      <alignment vertical="top"/>
      <protection locked="0"/>
    </xf>
    <xf numFmtId="43" fontId="38" fillId="0" borderId="9" xfId="0" applyNumberFormat="1" applyFont="1" applyBorder="1" applyAlignment="1">
      <alignment vertical="top"/>
    </xf>
    <xf numFmtId="43" fontId="38" fillId="0" borderId="9" xfId="0" applyNumberFormat="1" applyFont="1" applyBorder="1" applyAlignment="1" applyProtection="1">
      <alignment vertical="top"/>
      <protection locked="0"/>
    </xf>
    <xf numFmtId="43" fontId="17" fillId="0" borderId="9" xfId="0" applyNumberFormat="1" applyFont="1" applyBorder="1" applyAlignment="1">
      <alignment vertical="top"/>
    </xf>
    <xf numFmtId="43" fontId="35" fillId="6" borderId="5" xfId="0" applyNumberFormat="1" applyFont="1" applyFill="1" applyBorder="1" applyAlignment="1">
      <alignment horizontal="right" vertical="top"/>
    </xf>
    <xf numFmtId="43" fontId="17" fillId="0" borderId="27" xfId="0" applyNumberFormat="1" applyFont="1" applyBorder="1" applyAlignment="1">
      <alignment vertical="top"/>
    </xf>
    <xf numFmtId="0" fontId="35" fillId="0" borderId="20" xfId="0" applyFont="1" applyBorder="1" applyAlignment="1">
      <alignment horizontal="left" vertical="top"/>
    </xf>
    <xf numFmtId="2" fontId="38" fillId="6" borderId="11" xfId="5" applyNumberFormat="1" applyFont="1" applyFill="1" applyBorder="1" applyAlignment="1" applyProtection="1">
      <alignment horizontal="center" vertical="top" wrapText="1"/>
    </xf>
    <xf numFmtId="2" fontId="38" fillId="6" borderId="21" xfId="5" applyNumberFormat="1" applyFont="1" applyFill="1" applyBorder="1" applyAlignment="1" applyProtection="1">
      <alignment horizontal="center" vertical="top" wrapText="1"/>
    </xf>
    <xf numFmtId="43" fontId="38" fillId="0" borderId="20" xfId="0" applyNumberFormat="1" applyFont="1" applyBorder="1" applyAlignment="1">
      <alignment vertical="top"/>
    </xf>
    <xf numFmtId="0" fontId="5" fillId="0" borderId="0" xfId="0" applyFont="1" applyAlignment="1">
      <alignment horizontal="right" vertical="top"/>
    </xf>
    <xf numFmtId="43" fontId="38" fillId="6" borderId="0" xfId="0" applyNumberFormat="1" applyFont="1" applyFill="1" applyAlignment="1">
      <alignment horizontal="center" vertical="top"/>
    </xf>
    <xf numFmtId="0" fontId="35" fillId="0" borderId="18" xfId="0" applyFont="1" applyBorder="1" applyAlignment="1">
      <alignment vertical="top"/>
    </xf>
    <xf numFmtId="0" fontId="35" fillId="6" borderId="1" xfId="0" applyFont="1" applyFill="1" applyBorder="1" applyAlignment="1">
      <alignment horizontal="center" vertical="top"/>
    </xf>
    <xf numFmtId="0" fontId="35" fillId="0" borderId="0" xfId="0" applyFont="1" applyAlignment="1">
      <alignment horizontal="center" vertical="top"/>
    </xf>
    <xf numFmtId="43" fontId="38" fillId="0" borderId="0" xfId="0" applyNumberFormat="1" applyFont="1" applyAlignment="1">
      <alignment horizontal="center" vertical="top"/>
    </xf>
    <xf numFmtId="0" fontId="38" fillId="0" borderId="18" xfId="0" applyFont="1" applyBorder="1" applyAlignment="1">
      <alignment vertical="top"/>
    </xf>
    <xf numFmtId="43" fontId="38" fillId="0" borderId="19" xfId="0" applyNumberFormat="1" applyFont="1" applyBorder="1" applyAlignment="1">
      <alignment horizontal="center" vertical="top"/>
    </xf>
    <xf numFmtId="0" fontId="38" fillId="0" borderId="1" xfId="0" applyFont="1" applyBorder="1" applyAlignment="1">
      <alignment horizontal="left" vertical="top"/>
    </xf>
    <xf numFmtId="43" fontId="38" fillId="0" borderId="24" xfId="0" applyNumberFormat="1" applyFont="1" applyBorder="1" applyAlignment="1">
      <alignment vertical="top"/>
    </xf>
    <xf numFmtId="43" fontId="38" fillId="0" borderId="19" xfId="0" applyNumberFormat="1" applyFont="1" applyBorder="1" applyAlignment="1">
      <alignment vertical="top"/>
    </xf>
    <xf numFmtId="0" fontId="35" fillId="6" borderId="12" xfId="0" applyFont="1" applyFill="1" applyBorder="1" applyAlignment="1">
      <alignment horizontal="center" vertical="top"/>
    </xf>
    <xf numFmtId="0" fontId="35" fillId="6" borderId="6" xfId="0" applyFont="1" applyFill="1" applyBorder="1" applyAlignment="1">
      <alignment horizontal="center" vertical="top"/>
    </xf>
    <xf numFmtId="0" fontId="35" fillId="6" borderId="13" xfId="0" applyFont="1" applyFill="1" applyBorder="1" applyAlignment="1">
      <alignment horizontal="center" vertical="top"/>
    </xf>
    <xf numFmtId="0" fontId="35" fillId="6" borderId="26" xfId="0" applyFont="1" applyFill="1" applyBorder="1" applyAlignment="1">
      <alignment horizontal="center" vertical="top"/>
    </xf>
    <xf numFmtId="0" fontId="35" fillId="6" borderId="27" xfId="0" applyFont="1" applyFill="1" applyBorder="1" applyAlignment="1">
      <alignment horizontal="center" vertical="top"/>
    </xf>
    <xf numFmtId="0" fontId="35" fillId="6" borderId="8" xfId="0" applyFont="1" applyFill="1" applyBorder="1" applyAlignment="1">
      <alignment horizontal="center" vertical="top"/>
    </xf>
    <xf numFmtId="0" fontId="35" fillId="6" borderId="9" xfId="0" applyFont="1" applyFill="1" applyBorder="1" applyAlignment="1">
      <alignment horizontal="center" vertical="top"/>
    </xf>
    <xf numFmtId="0" fontId="35" fillId="6" borderId="10" xfId="0" applyFont="1" applyFill="1" applyBorder="1" applyAlignment="1">
      <alignment horizontal="center" vertical="top"/>
    </xf>
    <xf numFmtId="0" fontId="38" fillId="6" borderId="18" xfId="0" applyFont="1" applyFill="1" applyBorder="1" applyAlignment="1">
      <alignment vertical="top"/>
    </xf>
    <xf numFmtId="43" fontId="38" fillId="6" borderId="19" xfId="0" applyNumberFormat="1" applyFont="1" applyFill="1" applyBorder="1" applyAlignment="1">
      <alignment horizontal="center" vertical="top"/>
    </xf>
    <xf numFmtId="43" fontId="38" fillId="6" borderId="0" xfId="0" applyNumberFormat="1" applyFont="1" applyFill="1" applyAlignment="1" applyProtection="1">
      <alignment horizontal="center" vertical="top"/>
      <protection locked="0"/>
    </xf>
    <xf numFmtId="0" fontId="38" fillId="0" borderId="36" xfId="0" applyFont="1" applyBorder="1" applyAlignment="1">
      <alignment vertical="top"/>
    </xf>
    <xf numFmtId="43" fontId="38" fillId="0" borderId="3" xfId="0" applyNumberFormat="1" applyFont="1" applyBorder="1" applyAlignment="1">
      <alignment vertical="top"/>
    </xf>
    <xf numFmtId="0" fontId="38" fillId="0" borderId="20" xfId="0" applyFont="1" applyBorder="1" applyAlignment="1">
      <alignment horizontal="left" vertical="top"/>
    </xf>
    <xf numFmtId="0" fontId="35" fillId="6" borderId="11" xfId="0" applyFont="1" applyFill="1" applyBorder="1" applyAlignment="1">
      <alignment horizontal="center" vertical="top"/>
    </xf>
    <xf numFmtId="0" fontId="35" fillId="6" borderId="21" xfId="0" applyFont="1" applyFill="1" applyBorder="1" applyAlignment="1">
      <alignment horizontal="center" vertical="top"/>
    </xf>
    <xf numFmtId="0" fontId="38" fillId="0" borderId="11" xfId="0" applyFont="1" applyBorder="1" applyAlignment="1">
      <alignment vertical="top"/>
    </xf>
    <xf numFmtId="43" fontId="38" fillId="0" borderId="25" xfId="0" applyNumberFormat="1" applyFont="1" applyBorder="1" applyAlignment="1">
      <alignment vertical="top"/>
    </xf>
    <xf numFmtId="0" fontId="35" fillId="0" borderId="1" xfId="0" applyFont="1" applyBorder="1" applyAlignment="1">
      <alignment horizontal="lef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6"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2" borderId="0" xfId="3" applyFont="1" applyFill="1" applyBorder="1" applyAlignment="1" applyProtection="1">
      <alignment vertical="top"/>
    </xf>
    <xf numFmtId="0" fontId="36" fillId="12" borderId="0" xfId="3" applyFont="1" applyFill="1" applyBorder="1" applyAlignment="1" applyProtection="1">
      <alignment vertical="top" wrapText="1"/>
    </xf>
    <xf numFmtId="0" fontId="41" fillId="12" borderId="0" xfId="3" applyFont="1" applyFill="1" applyBorder="1" applyAlignment="1" applyProtection="1">
      <alignment vertical="top"/>
    </xf>
    <xf numFmtId="0" fontId="36" fillId="12" borderId="0" xfId="3" applyFont="1" applyFill="1" applyBorder="1" applyAlignment="1" applyProtection="1">
      <alignment horizontal="left" vertical="top"/>
    </xf>
    <xf numFmtId="0" fontId="36" fillId="12" borderId="0" xfId="3" applyFont="1" applyFill="1" applyBorder="1" applyAlignment="1" applyProtection="1">
      <alignment horizontal="left" vertical="top" wrapText="1"/>
    </xf>
    <xf numFmtId="0" fontId="40" fillId="12" borderId="0" xfId="3" applyFont="1" applyFill="1" applyBorder="1" applyAlignment="1" applyProtection="1">
      <alignment horizontal="center" vertical="top" wrapText="1"/>
    </xf>
    <xf numFmtId="0" fontId="40" fillId="12" borderId="0" xfId="3" applyFont="1" applyFill="1" applyBorder="1" applyAlignment="1" applyProtection="1">
      <alignment horizontal="center" vertical="top"/>
    </xf>
    <xf numFmtId="0" fontId="49" fillId="12" borderId="0" xfId="0" applyFont="1" applyFill="1" applyAlignment="1">
      <alignment vertical="top"/>
    </xf>
    <xf numFmtId="0" fontId="40" fillId="12" borderId="0" xfId="0" applyFont="1" applyFill="1" applyAlignment="1">
      <alignment vertical="top"/>
    </xf>
    <xf numFmtId="43" fontId="40" fillId="12" borderId="1" xfId="4" applyNumberFormat="1" applyFont="1" applyFill="1" applyBorder="1" applyAlignment="1" applyProtection="1">
      <alignment vertical="top"/>
    </xf>
    <xf numFmtId="0" fontId="40" fillId="12" borderId="0" xfId="0" applyFont="1" applyFill="1" applyAlignment="1">
      <alignment horizontal="left" vertical="top"/>
    </xf>
    <xf numFmtId="43" fontId="40" fillId="12" borderId="0" xfId="0" applyNumberFormat="1" applyFont="1" applyFill="1" applyAlignment="1">
      <alignment horizontal="right" vertical="top"/>
    </xf>
    <xf numFmtId="0" fontId="40" fillId="13" borderId="0" xfId="3" applyFont="1" applyFill="1" applyBorder="1" applyAlignment="1" applyProtection="1">
      <alignment horizontal="right" vertical="top" wrapText="1"/>
    </xf>
    <xf numFmtId="0" fontId="41" fillId="13" borderId="0" xfId="3" applyFont="1" applyFill="1" applyBorder="1" applyAlignment="1" applyProtection="1">
      <alignment horizontal="right" vertical="top" wrapText="1"/>
    </xf>
    <xf numFmtId="0" fontId="6" fillId="13" borderId="0" xfId="3" applyFont="1" applyFill="1" applyBorder="1" applyAlignment="1" applyProtection="1">
      <alignment horizontal="right" vertical="top"/>
    </xf>
    <xf numFmtId="0" fontId="6" fillId="13" borderId="0" xfId="3" applyFont="1" applyFill="1" applyBorder="1" applyAlignment="1" applyProtection="1">
      <alignment horizontal="right" vertical="top" wrapText="1"/>
    </xf>
    <xf numFmtId="43" fontId="37" fillId="0" borderId="4" xfId="4" applyNumberFormat="1" applyFont="1" applyFill="1" applyBorder="1" applyAlignment="1" applyProtection="1">
      <alignment horizontal="right" vertical="top"/>
    </xf>
    <xf numFmtId="0" fontId="40" fillId="12" borderId="0" xfId="6" applyFont="1" applyFill="1" applyAlignment="1">
      <alignment horizontal="right" vertical="top"/>
    </xf>
    <xf numFmtId="0" fontId="40" fillId="12" borderId="0" xfId="6" applyFont="1" applyFill="1" applyAlignment="1">
      <alignment horizontal="left" vertical="top"/>
    </xf>
    <xf numFmtId="0" fontId="40" fillId="12" borderId="1" xfId="6" applyFont="1" applyFill="1" applyBorder="1" applyAlignment="1">
      <alignment horizontal="left" vertical="top" wrapText="1"/>
    </xf>
    <xf numFmtId="0" fontId="11" fillId="12" borderId="1" xfId="6" applyFont="1" applyFill="1" applyBorder="1" applyAlignment="1">
      <alignment horizontal="left" vertical="top" wrapText="1"/>
    </xf>
    <xf numFmtId="0" fontId="11" fillId="12" borderId="0" xfId="6" applyFont="1" applyFill="1" applyAlignment="1">
      <alignment horizontal="left" vertical="top" wrapText="1"/>
    </xf>
    <xf numFmtId="0" fontId="4" fillId="0" borderId="0" xfId="6" applyFont="1" applyAlignment="1" applyProtection="1">
      <alignment horizontal="center" vertical="top" wrapText="1"/>
      <protection locked="0"/>
    </xf>
    <xf numFmtId="0" fontId="40" fillId="12" borderId="0" xfId="3" applyFont="1" applyFill="1" applyBorder="1" applyAlignment="1" applyProtection="1">
      <alignment horizontal="left" vertical="top"/>
    </xf>
    <xf numFmtId="0" fontId="14" fillId="15" borderId="0" xfId="3" applyFont="1" applyFill="1" applyBorder="1" applyAlignment="1" applyProtection="1">
      <alignment horizontal="center" vertical="top" wrapText="1"/>
    </xf>
    <xf numFmtId="2" fontId="14" fillId="15" borderId="1" xfId="4" applyNumberFormat="1" applyFont="1" applyFill="1" applyBorder="1" applyAlignment="1" applyProtection="1">
      <alignment vertical="center"/>
    </xf>
    <xf numFmtId="43" fontId="40" fillId="15" borderId="16" xfId="4" applyNumberFormat="1" applyFont="1" applyFill="1" applyBorder="1" applyAlignment="1" applyProtection="1">
      <alignment vertical="top"/>
    </xf>
    <xf numFmtId="43" fontId="40" fillId="15" borderId="17" xfId="4" applyNumberFormat="1" applyFont="1" applyFill="1" applyBorder="1" applyAlignment="1" applyProtection="1">
      <alignment vertical="top"/>
    </xf>
    <xf numFmtId="43" fontId="37" fillId="16" borderId="28" xfId="4" applyNumberFormat="1" applyFont="1" applyFill="1" applyBorder="1" applyAlignment="1" applyProtection="1">
      <alignment horizontal="center" vertical="top"/>
    </xf>
    <xf numFmtId="43" fontId="38" fillId="14" borderId="1" xfId="0" applyNumberFormat="1" applyFont="1" applyFill="1" applyBorder="1" applyAlignment="1" applyProtection="1">
      <alignment vertical="top"/>
      <protection locked="0"/>
    </xf>
    <xf numFmtId="0" fontId="47" fillId="16" borderId="0" xfId="6" applyFont="1" applyFill="1" applyAlignment="1">
      <alignment horizontal="center" vertical="top"/>
    </xf>
    <xf numFmtId="2" fontId="47" fillId="16" borderId="0" xfId="6" applyNumberFormat="1" applyFont="1" applyFill="1" applyAlignment="1">
      <alignment horizontal="center" vertical="top"/>
    </xf>
    <xf numFmtId="43" fontId="38" fillId="14" borderId="36" xfId="0" applyNumberFormat="1" applyFont="1" applyFill="1" applyBorder="1" applyAlignment="1" applyProtection="1">
      <alignment vertical="top"/>
      <protection locked="0"/>
    </xf>
    <xf numFmtId="43" fontId="38" fillId="14" borderId="37" xfId="4" applyNumberFormat="1" applyFont="1" applyFill="1" applyBorder="1" applyAlignment="1" applyProtection="1">
      <alignment vertical="top"/>
      <protection locked="0"/>
    </xf>
    <xf numFmtId="43" fontId="38" fillId="14" borderId="1" xfId="4" applyNumberFormat="1" applyFont="1" applyFill="1" applyBorder="1" applyAlignment="1" applyProtection="1">
      <alignment vertical="top"/>
      <protection locked="0"/>
    </xf>
    <xf numFmtId="0" fontId="38" fillId="14" borderId="37" xfId="0" applyFont="1" applyFill="1" applyBorder="1" applyAlignment="1" applyProtection="1">
      <alignment horizontal="left" vertical="top"/>
      <protection locked="0"/>
    </xf>
    <xf numFmtId="0" fontId="38" fillId="14" borderId="1" xfId="0" applyFont="1" applyFill="1" applyBorder="1" applyAlignment="1" applyProtection="1">
      <alignment horizontal="left" vertical="top"/>
      <protection locked="0"/>
    </xf>
    <xf numFmtId="43" fontId="38" fillId="14" borderId="37" xfId="0" applyNumberFormat="1" applyFont="1" applyFill="1" applyBorder="1" applyAlignment="1" applyProtection="1">
      <alignment vertical="top"/>
      <protection locked="0"/>
    </xf>
    <xf numFmtId="0" fontId="38" fillId="14" borderId="1" xfId="4" applyFont="1" applyFill="1" applyBorder="1" applyAlignment="1" applyProtection="1">
      <alignment vertical="top"/>
      <protection locked="0"/>
    </xf>
    <xf numFmtId="43" fontId="47" fillId="16" borderId="0" xfId="3" applyNumberFormat="1" applyFont="1" applyFill="1" applyBorder="1" applyAlignment="1" applyProtection="1">
      <alignment vertical="top" wrapText="1"/>
    </xf>
    <xf numFmtId="43" fontId="57" fillId="0" borderId="0" xfId="4" applyNumberFormat="1" applyFont="1" applyFill="1" applyBorder="1" applyAlignment="1" applyProtection="1">
      <alignment horizontal="left" vertical="center"/>
    </xf>
    <xf numFmtId="43" fontId="57" fillId="0" borderId="0" xfId="4" applyNumberFormat="1" applyFont="1" applyFill="1" applyBorder="1" applyAlignment="1" applyProtection="1">
      <alignment horizontal="left" vertical="top"/>
    </xf>
    <xf numFmtId="0" fontId="41" fillId="12" borderId="0" xfId="3" applyFont="1" applyFill="1" applyBorder="1" applyAlignment="1" applyProtection="1">
      <alignment horizontal="left" vertical="top"/>
    </xf>
    <xf numFmtId="0" fontId="50" fillId="15" borderId="14" xfId="0" applyFont="1" applyFill="1" applyBorder="1" applyAlignment="1">
      <alignment vertical="top"/>
    </xf>
    <xf numFmtId="0" fontId="40" fillId="15" borderId="15" xfId="0" applyFont="1" applyFill="1" applyBorder="1" applyAlignment="1">
      <alignment horizontal="left" vertical="top"/>
    </xf>
    <xf numFmtId="0" fontId="50" fillId="15" borderId="15" xfId="0" applyFont="1" applyFill="1" applyBorder="1" applyAlignment="1">
      <alignment vertical="top"/>
    </xf>
    <xf numFmtId="0" fontId="40" fillId="15" borderId="16" xfId="4" applyFont="1" applyFill="1" applyBorder="1" applyAlignment="1" applyProtection="1">
      <alignment vertical="top"/>
    </xf>
    <xf numFmtId="0" fontId="40" fillId="12" borderId="27" xfId="0" applyFont="1" applyFill="1" applyBorder="1" applyAlignment="1">
      <alignment horizontal="center" vertical="top" wrapText="1"/>
    </xf>
    <xf numFmtId="0" fontId="40" fillId="15" borderId="0" xfId="3" applyFont="1" applyFill="1" applyBorder="1" applyAlignment="1" applyProtection="1">
      <alignment vertical="top"/>
    </xf>
    <xf numFmtId="0" fontId="40" fillId="15" borderId="0" xfId="0" applyFont="1" applyFill="1" applyAlignment="1">
      <alignment horizontal="left" vertical="top"/>
    </xf>
    <xf numFmtId="43" fontId="40" fillId="15" borderId="0" xfId="0" applyNumberFormat="1" applyFont="1" applyFill="1" applyAlignment="1">
      <alignment horizontal="right" vertical="top"/>
    </xf>
    <xf numFmtId="0" fontId="40" fillId="0" borderId="0" xfId="0" applyFont="1" applyAlignment="1">
      <alignment horizontal="left" vertical="top"/>
    </xf>
    <xf numFmtId="43" fontId="40" fillId="0" borderId="0" xfId="0" applyNumberFormat="1" applyFont="1" applyAlignment="1">
      <alignment horizontal="right" vertical="top"/>
    </xf>
    <xf numFmtId="0" fontId="35" fillId="6" borderId="1" xfId="6" applyFont="1" applyFill="1" applyBorder="1" applyAlignment="1">
      <alignment vertical="top"/>
    </xf>
    <xf numFmtId="0" fontId="5" fillId="6" borderId="1" xfId="6" applyFont="1" applyFill="1" applyBorder="1" applyAlignment="1">
      <alignment horizontal="left" vertical="top" wrapText="1"/>
    </xf>
    <xf numFmtId="2" fontId="4" fillId="14" borderId="1" xfId="6" applyNumberFormat="1" applyFont="1" applyFill="1" applyBorder="1" applyAlignment="1" applyProtection="1">
      <alignment horizontal="right" vertical="top"/>
      <protection locked="0"/>
    </xf>
    <xf numFmtId="0" fontId="5" fillId="14" borderId="1" xfId="6" applyFont="1" applyFill="1" applyBorder="1" applyAlignment="1" applyProtection="1">
      <alignment horizontal="right" vertical="top"/>
      <protection locked="0"/>
    </xf>
    <xf numFmtId="0" fontId="4" fillId="14" borderId="1" xfId="6" applyFont="1" applyFill="1" applyBorder="1" applyAlignment="1" applyProtection="1">
      <alignment horizontal="right" vertical="top"/>
      <protection locked="0"/>
    </xf>
    <xf numFmtId="0" fontId="6" fillId="6" borderId="1" xfId="6" applyFont="1" applyFill="1" applyBorder="1" applyAlignment="1">
      <alignment horizontal="right" vertical="top"/>
    </xf>
    <xf numFmtId="0" fontId="38" fillId="6" borderId="1" xfId="6" applyFont="1" applyFill="1" applyBorder="1" applyAlignment="1">
      <alignment vertical="top"/>
    </xf>
    <xf numFmtId="43" fontId="6" fillId="6" borderId="1" xfId="4" applyNumberFormat="1" applyFont="1" applyFill="1" applyBorder="1" applyAlignment="1" applyProtection="1">
      <alignment vertical="top"/>
    </xf>
    <xf numFmtId="0" fontId="13" fillId="14" borderId="1" xfId="0" applyFont="1" applyFill="1" applyBorder="1" applyProtection="1">
      <protection locked="0"/>
    </xf>
    <xf numFmtId="0" fontId="13" fillId="14" borderId="1" xfId="4" applyFont="1" applyFill="1" applyBorder="1" applyAlignment="1" applyProtection="1">
      <alignment vertical="center"/>
      <protection locked="0"/>
    </xf>
    <xf numFmtId="0" fontId="22" fillId="12" borderId="0" xfId="3" quotePrefix="1" applyFont="1" applyFill="1" applyBorder="1" applyAlignment="1" applyProtection="1">
      <alignment horizontal="left" vertical="top"/>
    </xf>
    <xf numFmtId="0" fontId="15" fillId="12" borderId="0" xfId="3" applyFont="1" applyFill="1" applyBorder="1" applyAlignment="1" applyProtection="1">
      <alignment horizontal="left" vertical="top"/>
    </xf>
    <xf numFmtId="0" fontId="22" fillId="12" borderId="0" xfId="3" applyFont="1" applyFill="1" applyBorder="1" applyAlignment="1" applyProtection="1">
      <alignment horizontal="left" vertical="top" wrapText="1"/>
    </xf>
    <xf numFmtId="0" fontId="14" fillId="12" borderId="0" xfId="3" applyFont="1" applyFill="1" applyBorder="1" applyAlignment="1" applyProtection="1">
      <alignment horizontal="center" vertical="top" wrapText="1"/>
    </xf>
    <xf numFmtId="0" fontId="14" fillId="12" borderId="0" xfId="3" applyFont="1" applyFill="1" applyBorder="1" applyAlignment="1" applyProtection="1">
      <alignment horizontal="center" vertical="top"/>
    </xf>
    <xf numFmtId="0" fontId="14" fillId="12" borderId="0" xfId="3" applyFont="1" applyFill="1" applyBorder="1" applyAlignment="1" applyProtection="1">
      <alignment vertical="top" wrapText="1"/>
    </xf>
    <xf numFmtId="0" fontId="4" fillId="6" borderId="0" xfId="0" applyFont="1" applyFill="1" applyAlignment="1">
      <alignment horizontal="left" vertical="top" wrapText="1"/>
    </xf>
    <xf numFmtId="0" fontId="56" fillId="15" borderId="0" xfId="3" applyFont="1" applyFill="1" applyBorder="1" applyAlignment="1" applyProtection="1">
      <alignment vertical="top"/>
    </xf>
    <xf numFmtId="0" fontId="56" fillId="15" borderId="0" xfId="3" applyFont="1" applyFill="1" applyBorder="1" applyAlignment="1" applyProtection="1">
      <alignment vertical="top" wrapText="1"/>
    </xf>
    <xf numFmtId="0" fontId="36" fillId="15" borderId="0" xfId="3" applyFont="1" applyFill="1" applyBorder="1" applyAlignment="1" applyProtection="1">
      <alignment vertical="top"/>
    </xf>
    <xf numFmtId="43" fontId="56" fillId="15" borderId="0" xfId="3" applyNumberFormat="1" applyFont="1" applyFill="1" applyBorder="1" applyAlignment="1" applyProtection="1">
      <alignment vertical="top"/>
    </xf>
    <xf numFmtId="43" fontId="56" fillId="15" borderId="0" xfId="3" applyNumberFormat="1" applyFont="1" applyFill="1" applyBorder="1" applyAlignment="1" applyProtection="1">
      <alignment horizontal="right" vertical="top"/>
    </xf>
    <xf numFmtId="0" fontId="40" fillId="15" borderId="0" xfId="3" applyFont="1" applyFill="1" applyBorder="1" applyAlignment="1" applyProtection="1">
      <alignment horizontal="left" vertical="top"/>
    </xf>
    <xf numFmtId="0" fontId="40" fillId="15" borderId="0" xfId="3" applyFont="1" applyFill="1" applyBorder="1" applyAlignment="1" applyProtection="1">
      <alignment horizontal="center" vertical="top"/>
    </xf>
    <xf numFmtId="43" fontId="61" fillId="15" borderId="1" xfId="7" applyFont="1" applyFill="1" applyBorder="1" applyAlignment="1" applyProtection="1">
      <alignment horizontal="left" wrapText="1"/>
    </xf>
    <xf numFmtId="0" fontId="10" fillId="15" borderId="1" xfId="6" applyFont="1" applyFill="1" applyBorder="1"/>
    <xf numFmtId="0" fontId="59" fillId="15" borderId="1" xfId="6" applyFont="1" applyFill="1" applyBorder="1"/>
    <xf numFmtId="43" fontId="40" fillId="15" borderId="1" xfId="4" applyNumberFormat="1" applyFont="1" applyFill="1" applyBorder="1" applyAlignment="1" applyProtection="1">
      <alignment vertical="top"/>
    </xf>
    <xf numFmtId="0" fontId="60" fillId="6" borderId="0" xfId="0" applyFont="1" applyFill="1" applyAlignment="1">
      <alignment vertical="top"/>
    </xf>
    <xf numFmtId="2" fontId="56" fillId="15" borderId="0" xfId="3" applyNumberFormat="1" applyFont="1" applyFill="1" applyBorder="1" applyAlignment="1" applyProtection="1">
      <alignment vertical="top"/>
    </xf>
    <xf numFmtId="0" fontId="63" fillId="12" borderId="0" xfId="3" applyFont="1" applyFill="1" applyBorder="1" applyAlignment="1" applyProtection="1">
      <alignment vertical="top" wrapText="1"/>
    </xf>
    <xf numFmtId="1" fontId="55" fillId="7" borderId="1" xfId="4" applyNumberFormat="1" applyFont="1" applyFill="1" applyBorder="1" applyAlignment="1" applyProtection="1">
      <alignment horizontal="center" vertical="top"/>
    </xf>
    <xf numFmtId="0" fontId="35" fillId="6" borderId="1" xfId="6" applyFont="1" applyFill="1" applyBorder="1" applyAlignment="1">
      <alignment horizontal="center" vertical="center"/>
    </xf>
    <xf numFmtId="0" fontId="36" fillId="12" borderId="1" xfId="3" applyFont="1" applyFill="1" applyBorder="1" applyAlignment="1" applyProtection="1">
      <alignment horizontal="left" vertical="top"/>
    </xf>
    <xf numFmtId="1" fontId="47" fillId="12" borderId="4" xfId="7" applyNumberFormat="1" applyFont="1" applyFill="1" applyBorder="1" applyAlignment="1" applyProtection="1">
      <alignment horizontal="center" vertical="top"/>
      <protection locked="0"/>
    </xf>
    <xf numFmtId="1" fontId="47" fillId="12" borderId="3" xfId="7" applyNumberFormat="1" applyFont="1" applyFill="1" applyBorder="1" applyAlignment="1" applyProtection="1">
      <alignment horizontal="center" vertical="top"/>
      <protection locked="0"/>
    </xf>
    <xf numFmtId="0" fontId="64" fillId="13" borderId="1" xfId="6" applyFont="1" applyFill="1" applyBorder="1" applyAlignment="1">
      <alignment vertical="top"/>
    </xf>
    <xf numFmtId="0" fontId="58" fillId="0" borderId="0" xfId="0" applyFont="1" applyAlignment="1">
      <alignment horizontal="left" vertical="top" wrapText="1"/>
    </xf>
    <xf numFmtId="166" fontId="4" fillId="0" borderId="0" xfId="0" quotePrefix="1" applyNumberFormat="1" applyFont="1" applyAlignment="1">
      <alignment horizontal="left" vertical="top"/>
    </xf>
    <xf numFmtId="0" fontId="35" fillId="6" borderId="1" xfId="6" applyFont="1" applyFill="1" applyBorder="1" applyAlignment="1">
      <alignment horizontal="center" vertical="top"/>
    </xf>
    <xf numFmtId="0" fontId="38" fillId="11" borderId="1" xfId="6" applyFont="1" applyFill="1" applyBorder="1" applyAlignment="1">
      <alignment vertical="top"/>
    </xf>
    <xf numFmtId="43" fontId="37" fillId="11" borderId="1" xfId="4" applyNumberFormat="1" applyFont="1" applyFill="1" applyBorder="1" applyAlignment="1" applyProtection="1">
      <alignment horizontal="right" vertical="top"/>
    </xf>
    <xf numFmtId="0" fontId="63" fillId="15" borderId="0" xfId="0" applyFont="1" applyFill="1" applyAlignment="1">
      <alignment vertical="top"/>
    </xf>
    <xf numFmtId="0" fontId="35" fillId="0" borderId="22" xfId="0" applyFont="1" applyBorder="1" applyAlignment="1">
      <alignment vertical="top"/>
    </xf>
    <xf numFmtId="0" fontId="35" fillId="0" borderId="23" xfId="0" applyFont="1" applyBorder="1" applyAlignment="1">
      <alignment vertical="top"/>
    </xf>
    <xf numFmtId="49" fontId="35" fillId="6" borderId="0" xfId="0" applyNumberFormat="1" applyFont="1" applyFill="1" applyAlignment="1">
      <alignment horizontal="center" vertical="center"/>
    </xf>
    <xf numFmtId="43" fontId="38" fillId="14" borderId="1" xfId="0" applyNumberFormat="1" applyFont="1" applyFill="1" applyBorder="1" applyAlignment="1" applyProtection="1">
      <alignment horizontal="center" vertical="center"/>
      <protection locked="0"/>
    </xf>
    <xf numFmtId="0" fontId="40" fillId="15" borderId="0" xfId="3" applyFont="1" applyFill="1" applyBorder="1" applyAlignment="1" applyProtection="1">
      <alignment vertical="top" wrapText="1"/>
    </xf>
    <xf numFmtId="0" fontId="40" fillId="15" borderId="0" xfId="3" applyFont="1" applyFill="1" applyBorder="1" applyAlignment="1" applyProtection="1">
      <alignment horizontal="right" vertical="top"/>
    </xf>
    <xf numFmtId="0" fontId="6" fillId="0" borderId="0" xfId="0" applyFont="1"/>
    <xf numFmtId="43" fontId="37" fillId="14" borderId="1" xfId="4" applyNumberFormat="1" applyFont="1" applyFill="1" applyBorder="1" applyAlignment="1" applyProtection="1">
      <alignment horizontal="right" vertical="top"/>
      <protection locked="0"/>
    </xf>
    <xf numFmtId="43" fontId="57" fillId="13" borderId="0" xfId="4" applyNumberFormat="1" applyFont="1" applyFill="1" applyBorder="1" applyAlignment="1" applyProtection="1">
      <alignment horizontal="center" vertical="center"/>
    </xf>
    <xf numFmtId="0" fontId="0" fillId="0" borderId="0" xfId="0" applyAlignment="1">
      <alignment vertical="center"/>
    </xf>
    <xf numFmtId="0" fontId="14" fillId="12"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43" fontId="21" fillId="0" borderId="0" xfId="0" applyNumberFormat="1" applyFont="1" applyAlignment="1">
      <alignment vertical="center"/>
    </xf>
    <xf numFmtId="43" fontId="13" fillId="0" borderId="0" xfId="4" applyNumberFormat="1" applyFont="1" applyFill="1" applyBorder="1" applyAlignment="1" applyProtection="1">
      <alignment horizontal="center" vertical="center"/>
      <protection locked="0"/>
    </xf>
    <xf numFmtId="43" fontId="0" fillId="0" borderId="0" xfId="0" applyNumberFormat="1" applyAlignment="1">
      <alignment vertical="center"/>
    </xf>
    <xf numFmtId="0" fontId="0" fillId="12" borderId="0" xfId="0" applyFill="1"/>
    <xf numFmtId="0" fontId="0" fillId="12" borderId="0" xfId="0" applyFill="1" applyAlignment="1">
      <alignment vertical="center"/>
    </xf>
    <xf numFmtId="0" fontId="13" fillId="14" borderId="37" xfId="4" applyFont="1" applyFill="1" applyBorder="1" applyAlignment="1" applyProtection="1">
      <alignment vertical="center"/>
      <protection locked="0"/>
    </xf>
    <xf numFmtId="0" fontId="38" fillId="0" borderId="26" xfId="0" applyFont="1" applyBorder="1" applyAlignment="1" applyProtection="1">
      <alignment horizontal="left" vertical="top"/>
      <protection locked="0"/>
    </xf>
    <xf numFmtId="49" fontId="38" fillId="14" borderId="1" xfId="6" applyNumberFormat="1" applyFont="1" applyFill="1" applyBorder="1" applyAlignment="1" applyProtection="1">
      <alignment horizontal="right" vertical="top" wrapText="1"/>
      <protection locked="0"/>
    </xf>
    <xf numFmtId="0" fontId="38" fillId="14" borderId="1" xfId="6" applyFont="1" applyFill="1" applyBorder="1" applyAlignment="1" applyProtection="1">
      <alignment horizontal="left" vertical="top" wrapText="1"/>
      <protection locked="0"/>
    </xf>
    <xf numFmtId="0" fontId="38" fillId="14" borderId="1" xfId="6" applyFont="1" applyFill="1" applyBorder="1" applyAlignment="1" applyProtection="1">
      <alignment horizontal="left" vertical="top"/>
      <protection locked="0"/>
    </xf>
    <xf numFmtId="0" fontId="38" fillId="14" borderId="1" xfId="6" applyFont="1" applyFill="1" applyBorder="1" applyAlignment="1" applyProtection="1">
      <alignment horizontal="center" vertical="center"/>
      <protection locked="0"/>
    </xf>
    <xf numFmtId="0" fontId="38" fillId="5" borderId="1" xfId="6" applyFont="1" applyFill="1" applyBorder="1" applyAlignment="1" applyProtection="1">
      <alignment vertical="top"/>
      <protection locked="0"/>
    </xf>
    <xf numFmtId="0" fontId="38" fillId="6" borderId="1" xfId="6" applyFont="1" applyFill="1" applyBorder="1" applyAlignment="1" applyProtection="1">
      <alignment vertical="top"/>
      <protection locked="0"/>
    </xf>
    <xf numFmtId="0" fontId="38" fillId="0" borderId="0" xfId="6" applyFont="1" applyAlignment="1" applyProtection="1">
      <alignment vertical="top"/>
      <protection locked="0"/>
    </xf>
    <xf numFmtId="0" fontId="58" fillId="0" borderId="0" xfId="6" applyFont="1" applyAlignment="1" applyProtection="1">
      <alignment vertical="top"/>
      <protection locked="0"/>
    </xf>
    <xf numFmtId="0" fontId="4" fillId="0" borderId="0" xfId="0" applyFont="1" applyAlignment="1" applyProtection="1">
      <alignment vertical="top"/>
      <protection locked="0"/>
    </xf>
    <xf numFmtId="43" fontId="17" fillId="0" borderId="0" xfId="0" applyNumberFormat="1" applyFont="1" applyAlignment="1" applyProtection="1">
      <alignment vertical="top"/>
      <protection locked="0"/>
    </xf>
    <xf numFmtId="0" fontId="0" fillId="0" borderId="0" xfId="0" applyProtection="1">
      <protection locked="0"/>
    </xf>
    <xf numFmtId="43" fontId="17" fillId="14" borderId="0" xfId="4" applyNumberFormat="1" applyFont="1" applyFill="1" applyBorder="1" applyAlignment="1" applyProtection="1">
      <alignment horizontal="center" vertical="center"/>
      <protection locked="0"/>
    </xf>
    <xf numFmtId="2" fontId="4" fillId="11" borderId="0" xfId="6" applyNumberFormat="1" applyFont="1" applyFill="1" applyAlignment="1">
      <alignment horizontal="right" vertical="top"/>
    </xf>
    <xf numFmtId="2" fontId="35" fillId="0" borderId="0" xfId="0" applyNumberFormat="1" applyFont="1" applyAlignment="1">
      <alignment vertical="top"/>
    </xf>
    <xf numFmtId="0" fontId="40" fillId="15" borderId="15" xfId="0" applyFont="1" applyFill="1" applyBorder="1" applyAlignment="1">
      <alignment horizontal="left" vertical="top" wrapText="1"/>
    </xf>
    <xf numFmtId="0" fontId="5" fillId="6" borderId="0" xfId="0" applyFont="1" applyFill="1" applyAlignment="1">
      <alignment horizontal="left" vertical="top" wrapText="1"/>
    </xf>
    <xf numFmtId="0" fontId="5" fillId="0" borderId="0" xfId="0" applyFont="1" applyAlignment="1">
      <alignment wrapText="1"/>
    </xf>
    <xf numFmtId="2" fontId="4" fillId="13" borderId="0" xfId="6" applyNumberFormat="1" applyFont="1" applyFill="1" applyAlignment="1">
      <alignment vertical="center"/>
    </xf>
    <xf numFmtId="2" fontId="4" fillId="11" borderId="0" xfId="6" applyNumberFormat="1" applyFont="1" applyFill="1" applyAlignment="1">
      <alignment horizontal="right" vertical="center"/>
    </xf>
    <xf numFmtId="2" fontId="4" fillId="13" borderId="0" xfId="6" applyNumberFormat="1" applyFont="1" applyFill="1" applyAlignment="1">
      <alignment horizontal="right" vertical="center"/>
    </xf>
    <xf numFmtId="2" fontId="4" fillId="0" borderId="0" xfId="6" applyNumberFormat="1" applyFont="1" applyAlignment="1">
      <alignment vertical="center"/>
    </xf>
    <xf numFmtId="0" fontId="47" fillId="6" borderId="1" xfId="6" applyFont="1" applyFill="1" applyBorder="1" applyAlignment="1">
      <alignment horizontal="left" vertical="top" wrapText="1"/>
    </xf>
    <xf numFmtId="0" fontId="4" fillId="6" borderId="1" xfId="6" applyFont="1" applyFill="1" applyBorder="1" applyAlignment="1">
      <alignment horizontal="left" vertical="top" wrapText="1"/>
    </xf>
    <xf numFmtId="0" fontId="41" fillId="12" borderId="1" xfId="6" applyFont="1" applyFill="1" applyBorder="1" applyAlignment="1">
      <alignment horizontal="left" vertical="top" wrapText="1"/>
    </xf>
    <xf numFmtId="0" fontId="7" fillId="6" borderId="1" xfId="6" applyFont="1" applyFill="1" applyBorder="1" applyAlignment="1">
      <alignment horizontal="left" vertical="top" wrapText="1"/>
    </xf>
    <xf numFmtId="0" fontId="66" fillId="15" borderId="0" xfId="3" applyFont="1" applyFill="1" applyBorder="1" applyAlignment="1" applyProtection="1">
      <alignment vertical="top" wrapText="1"/>
    </xf>
    <xf numFmtId="2" fontId="38" fillId="11" borderId="1" xfId="6" applyNumberFormat="1" applyFont="1" applyFill="1" applyBorder="1" applyAlignment="1">
      <alignment vertical="top"/>
    </xf>
    <xf numFmtId="0" fontId="13" fillId="14" borderId="4" xfId="4" applyFont="1" applyFill="1" applyBorder="1" applyAlignment="1" applyProtection="1">
      <alignment vertical="center"/>
      <protection locked="0"/>
    </xf>
    <xf numFmtId="43" fontId="38" fillId="14" borderId="23" xfId="0" applyNumberFormat="1" applyFont="1" applyFill="1" applyBorder="1" applyAlignment="1" applyProtection="1">
      <alignment vertical="top"/>
      <protection locked="0"/>
    </xf>
    <xf numFmtId="43" fontId="38" fillId="14" borderId="20" xfId="0" applyNumberFormat="1" applyFont="1" applyFill="1" applyBorder="1" applyAlignment="1" applyProtection="1">
      <alignment vertical="top"/>
      <protection locked="0"/>
    </xf>
    <xf numFmtId="0" fontId="13" fillId="14" borderId="12" xfId="4" applyFont="1" applyFill="1" applyBorder="1" applyAlignment="1" applyProtection="1">
      <alignment vertical="center"/>
      <protection locked="0"/>
    </xf>
    <xf numFmtId="43" fontId="38" fillId="14" borderId="1" xfId="0" applyNumberFormat="1" applyFont="1" applyFill="1" applyBorder="1" applyAlignment="1" applyProtection="1">
      <alignment vertical="center"/>
      <protection locked="0"/>
    </xf>
    <xf numFmtId="2" fontId="38" fillId="0" borderId="1" xfId="6" applyNumberFormat="1" applyFont="1" applyBorder="1" applyAlignment="1">
      <alignment vertical="top"/>
    </xf>
    <xf numFmtId="2" fontId="49" fillId="12" borderId="1" xfId="6" applyNumberFormat="1" applyFont="1" applyFill="1" applyBorder="1" applyAlignment="1">
      <alignment vertical="top"/>
    </xf>
    <xf numFmtId="43" fontId="38" fillId="0" borderId="37" xfId="0" applyNumberFormat="1" applyFont="1" applyBorder="1" applyAlignment="1">
      <alignment vertical="top"/>
    </xf>
    <xf numFmtId="43" fontId="38" fillId="0" borderId="36" xfId="0" applyNumberFormat="1" applyFont="1" applyBorder="1" applyAlignment="1">
      <alignment vertical="top"/>
    </xf>
    <xf numFmtId="0" fontId="0" fillId="0" borderId="0" xfId="0" applyAlignment="1">
      <alignment vertical="top"/>
    </xf>
    <xf numFmtId="43" fontId="38" fillId="14" borderId="37" xfId="0" applyNumberFormat="1" applyFont="1" applyFill="1" applyBorder="1" applyAlignment="1" applyProtection="1">
      <alignment vertical="center"/>
      <protection locked="0"/>
    </xf>
    <xf numFmtId="43" fontId="38" fillId="0" borderId="1" xfId="0" applyNumberFormat="1" applyFont="1" applyBorder="1" applyAlignment="1">
      <alignment horizontal="center" vertical="top"/>
    </xf>
    <xf numFmtId="43" fontId="35" fillId="6"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7" borderId="1" xfId="0" applyFont="1" applyFill="1" applyBorder="1" applyAlignment="1">
      <alignment horizontal="center" vertical="top"/>
    </xf>
    <xf numFmtId="0" fontId="70" fillId="7"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7" borderId="1" xfId="0" applyFont="1" applyFill="1" applyBorder="1" applyAlignment="1">
      <alignment vertical="top"/>
    </xf>
    <xf numFmtId="0" fontId="17" fillId="17" borderId="1" xfId="0" applyFont="1" applyFill="1" applyBorder="1" applyAlignment="1">
      <alignment vertical="top"/>
    </xf>
    <xf numFmtId="0" fontId="0" fillId="17"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3" fillId="0" borderId="0" xfId="0" applyFont="1" applyAlignment="1">
      <alignment vertical="center"/>
    </xf>
    <xf numFmtId="0" fontId="74" fillId="0" borderId="0" xfId="0" applyFont="1" applyAlignment="1">
      <alignment horizontal="center" vertical="center"/>
    </xf>
    <xf numFmtId="0" fontId="72" fillId="0" borderId="0" xfId="0" applyFont="1" applyAlignment="1">
      <alignment horizontal="center" vertical="center"/>
    </xf>
    <xf numFmtId="43" fontId="38" fillId="14" borderId="37" xfId="0" applyNumberFormat="1" applyFont="1" applyFill="1" applyBorder="1" applyAlignment="1" applyProtection="1">
      <alignment vertical="top" wrapText="1"/>
      <protection locked="0"/>
    </xf>
    <xf numFmtId="14" fontId="35" fillId="14" borderId="1" xfId="4" applyNumberFormat="1" applyFont="1" applyFill="1" applyBorder="1" applyAlignment="1" applyProtection="1">
      <alignment horizontal="right" vertical="top"/>
      <protection locked="0"/>
    </xf>
    <xf numFmtId="0" fontId="4" fillId="7" borderId="0" xfId="0" applyFont="1" applyFill="1" applyAlignment="1" applyProtection="1">
      <alignment vertical="top"/>
      <protection locked="0"/>
    </xf>
    <xf numFmtId="0" fontId="58" fillId="0" borderId="0" xfId="0" applyFont="1" applyAlignment="1">
      <alignment horizontal="left" vertical="top" wrapText="1"/>
    </xf>
    <xf numFmtId="0" fontId="38" fillId="0" borderId="33" xfId="6" applyFont="1" applyBorder="1" applyAlignment="1">
      <alignment vertical="top"/>
    </xf>
    <xf numFmtId="0" fontId="38" fillId="0" borderId="34" xfId="6" applyFont="1" applyBorder="1" applyAlignment="1">
      <alignment vertical="top"/>
    </xf>
    <xf numFmtId="0" fontId="38" fillId="0" borderId="35" xfId="6" applyFont="1" applyBorder="1" applyAlignment="1">
      <alignment vertical="top"/>
    </xf>
    <xf numFmtId="0" fontId="36" fillId="12" borderId="1" xfId="3" applyFont="1" applyFill="1" applyBorder="1" applyAlignment="1" applyProtection="1">
      <alignment horizontal="left" vertical="top"/>
    </xf>
    <xf numFmtId="1" fontId="47" fillId="14" borderId="4" xfId="7" applyNumberFormat="1" applyFont="1" applyFill="1" applyBorder="1" applyAlignment="1" applyProtection="1">
      <alignment horizontal="center" vertical="top"/>
      <protection locked="0"/>
    </xf>
    <xf numFmtId="1" fontId="47" fillId="14" borderId="3" xfId="7" applyNumberFormat="1" applyFont="1" applyFill="1" applyBorder="1" applyAlignment="1" applyProtection="1">
      <alignment horizontal="center" vertical="top"/>
      <protection locked="0"/>
    </xf>
    <xf numFmtId="0" fontId="11" fillId="12" borderId="1" xfId="6" applyFont="1" applyFill="1" applyBorder="1" applyAlignment="1">
      <alignment horizontal="center" vertical="top" wrapText="1"/>
    </xf>
    <xf numFmtId="0" fontId="6" fillId="0" borderId="1" xfId="6" applyFont="1" applyBorder="1" applyAlignment="1">
      <alignment horizontal="center" vertical="top"/>
    </xf>
    <xf numFmtId="2" fontId="4" fillId="14" borderId="4" xfId="6" applyNumberFormat="1" applyFont="1" applyFill="1" applyBorder="1" applyAlignment="1" applyProtection="1">
      <alignment horizontal="left" vertical="top" wrapText="1"/>
      <protection locked="0"/>
    </xf>
    <xf numFmtId="2" fontId="4" fillId="14" borderId="3" xfId="6" applyNumberFormat="1" applyFont="1" applyFill="1" applyBorder="1" applyAlignment="1" applyProtection="1">
      <alignment horizontal="left" vertical="top" wrapText="1"/>
      <protection locked="0"/>
    </xf>
    <xf numFmtId="2" fontId="4" fillId="14" borderId="12" xfId="6" applyNumberFormat="1" applyFont="1" applyFill="1" applyBorder="1" applyAlignment="1" applyProtection="1">
      <alignment horizontal="left" vertical="top"/>
      <protection locked="0"/>
    </xf>
    <xf numFmtId="2" fontId="4" fillId="14" borderId="6" xfId="6" applyNumberFormat="1" applyFont="1" applyFill="1" applyBorder="1" applyAlignment="1" applyProtection="1">
      <alignment horizontal="left" vertical="top"/>
      <protection locked="0"/>
    </xf>
    <xf numFmtId="2" fontId="4" fillId="14" borderId="13" xfId="6" applyNumberFormat="1" applyFont="1" applyFill="1" applyBorder="1" applyAlignment="1" applyProtection="1">
      <alignment horizontal="left" vertical="top"/>
      <protection locked="0"/>
    </xf>
    <xf numFmtId="2" fontId="4" fillId="14" borderId="26" xfId="6" applyNumberFormat="1" applyFont="1" applyFill="1" applyBorder="1" applyAlignment="1" applyProtection="1">
      <alignment horizontal="left" vertical="top"/>
      <protection locked="0"/>
    </xf>
    <xf numFmtId="2" fontId="4" fillId="14" borderId="0" xfId="6" applyNumberFormat="1" applyFont="1" applyFill="1" applyAlignment="1" applyProtection="1">
      <alignment horizontal="left" vertical="top"/>
      <protection locked="0"/>
    </xf>
    <xf numFmtId="2" fontId="4" fillId="14" borderId="27" xfId="6" applyNumberFormat="1" applyFont="1" applyFill="1" applyBorder="1" applyAlignment="1" applyProtection="1">
      <alignment horizontal="left" vertical="top"/>
      <protection locked="0"/>
    </xf>
    <xf numFmtId="2" fontId="4" fillId="14" borderId="8" xfId="6" applyNumberFormat="1" applyFont="1" applyFill="1" applyBorder="1" applyAlignment="1" applyProtection="1">
      <alignment horizontal="left" vertical="top"/>
      <protection locked="0"/>
    </xf>
    <xf numFmtId="2" fontId="4" fillId="14" borderId="9" xfId="6" applyNumberFormat="1" applyFont="1" applyFill="1" applyBorder="1" applyAlignment="1" applyProtection="1">
      <alignment horizontal="left" vertical="top"/>
      <protection locked="0"/>
    </xf>
    <xf numFmtId="2" fontId="4" fillId="14" borderId="10" xfId="6" applyNumberFormat="1" applyFont="1" applyFill="1" applyBorder="1" applyAlignment="1" applyProtection="1">
      <alignment horizontal="left" vertical="top"/>
      <protection locked="0"/>
    </xf>
    <xf numFmtId="0" fontId="43" fillId="0" borderId="26" xfId="4" applyNumberFormat="1" applyFont="1" applyFill="1" applyBorder="1" applyAlignment="1" applyProtection="1">
      <alignment horizontal="center" vertical="top"/>
    </xf>
    <xf numFmtId="0" fontId="43" fillId="0" borderId="0"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35" fillId="6" borderId="4" xfId="0" applyFont="1" applyFill="1" applyBorder="1" applyAlignment="1" applyProtection="1">
      <alignment horizontal="left" vertical="top"/>
      <protection locked="0"/>
    </xf>
    <xf numFmtId="0" fontId="35" fillId="6" borderId="5" xfId="0" applyFont="1" applyFill="1" applyBorder="1" applyAlignment="1" applyProtection="1">
      <alignment horizontal="left" vertical="top"/>
      <protection locked="0"/>
    </xf>
    <xf numFmtId="0" fontId="6" fillId="6" borderId="1" xfId="4" applyFont="1" applyFill="1" applyBorder="1" applyAlignment="1" applyProtection="1">
      <alignment horizontal="center" vertical="top"/>
    </xf>
    <xf numFmtId="0" fontId="40" fillId="15" borderId="1" xfId="0" applyFont="1" applyFill="1" applyBorder="1" applyAlignment="1">
      <alignment horizontal="left" vertical="top" wrapText="1"/>
    </xf>
    <xf numFmtId="2" fontId="38" fillId="6" borderId="4" xfId="5" applyNumberFormat="1" applyFont="1" applyFill="1" applyBorder="1" applyAlignment="1" applyProtection="1">
      <alignment horizontal="center" vertical="top" wrapText="1"/>
    </xf>
    <xf numFmtId="2" fontId="38" fillId="6" borderId="5" xfId="5" applyNumberFormat="1" applyFont="1" applyFill="1" applyBorder="1" applyAlignment="1" applyProtection="1">
      <alignment horizontal="center" vertical="top" wrapText="1"/>
    </xf>
    <xf numFmtId="2" fontId="38" fillId="6" borderId="3" xfId="5" applyNumberFormat="1" applyFont="1" applyFill="1" applyBorder="1" applyAlignment="1" applyProtection="1">
      <alignment horizontal="center" vertical="top" wrapText="1"/>
    </xf>
    <xf numFmtId="0" fontId="4" fillId="14" borderId="12" xfId="0" applyFont="1" applyFill="1" applyBorder="1" applyAlignment="1" applyProtection="1">
      <alignment horizontal="left" vertical="top" wrapText="1"/>
      <protection locked="0"/>
    </xf>
    <xf numFmtId="0" fontId="4" fillId="14" borderId="6" xfId="0" applyFont="1" applyFill="1" applyBorder="1" applyAlignment="1" applyProtection="1">
      <alignment horizontal="left" vertical="top" wrapText="1"/>
      <protection locked="0"/>
    </xf>
    <xf numFmtId="0" fontId="4" fillId="14" borderId="13" xfId="0" applyFont="1" applyFill="1" applyBorder="1" applyAlignment="1" applyProtection="1">
      <alignment horizontal="left" vertical="top" wrapText="1"/>
      <protection locked="0"/>
    </xf>
    <xf numFmtId="0" fontId="4" fillId="14" borderId="26" xfId="0" applyFont="1" applyFill="1" applyBorder="1" applyAlignment="1" applyProtection="1">
      <alignment horizontal="left" vertical="top" wrapText="1"/>
      <protection locked="0"/>
    </xf>
    <xf numFmtId="0" fontId="4" fillId="14" borderId="0" xfId="0" applyFont="1" applyFill="1" applyAlignment="1" applyProtection="1">
      <alignment horizontal="left" vertical="top" wrapText="1"/>
      <protection locked="0"/>
    </xf>
    <xf numFmtId="0" fontId="4" fillId="14" borderId="27" xfId="0" applyFont="1" applyFill="1" applyBorder="1" applyAlignment="1" applyProtection="1">
      <alignment horizontal="left" vertical="top" wrapText="1"/>
      <protection locked="0"/>
    </xf>
    <xf numFmtId="0" fontId="4" fillId="14" borderId="8" xfId="0" applyFont="1" applyFill="1" applyBorder="1" applyAlignment="1" applyProtection="1">
      <alignment horizontal="left" vertical="top" wrapText="1"/>
      <protection locked="0"/>
    </xf>
    <xf numFmtId="0" fontId="4" fillId="14" borderId="9" xfId="0" applyFont="1" applyFill="1" applyBorder="1" applyAlignment="1" applyProtection="1">
      <alignment horizontal="left" vertical="top" wrapText="1"/>
      <protection locked="0"/>
    </xf>
    <xf numFmtId="0" fontId="4" fillId="14" borderId="10" xfId="0" applyFont="1" applyFill="1" applyBorder="1" applyAlignment="1" applyProtection="1">
      <alignment horizontal="left" vertical="top" wrapText="1"/>
      <protection locked="0"/>
    </xf>
    <xf numFmtId="0" fontId="40" fillId="15" borderId="0" xfId="0" applyFont="1" applyFill="1" applyAlignment="1">
      <alignment horizontal="right" vertical="top"/>
    </xf>
    <xf numFmtId="0" fontId="35" fillId="6" borderId="8" xfId="0" applyFont="1" applyFill="1" applyBorder="1" applyAlignment="1">
      <alignment horizontal="left" vertical="top"/>
    </xf>
    <xf numFmtId="0" fontId="35" fillId="6" borderId="9" xfId="0" applyFont="1" applyFill="1" applyBorder="1" applyAlignment="1">
      <alignment horizontal="left" vertical="top"/>
    </xf>
    <xf numFmtId="0" fontId="35" fillId="6" borderId="4" xfId="0" applyFont="1" applyFill="1" applyBorder="1" applyAlignment="1">
      <alignment horizontal="left" vertical="top"/>
    </xf>
    <xf numFmtId="0" fontId="35" fillId="6" borderId="5" xfId="0" applyFont="1" applyFill="1" applyBorder="1" applyAlignment="1">
      <alignment horizontal="left" vertical="top"/>
    </xf>
    <xf numFmtId="0" fontId="35" fillId="6" borderId="4" xfId="0" applyFont="1" applyFill="1" applyBorder="1" applyAlignment="1">
      <alignment horizontal="left" vertical="top" wrapText="1"/>
    </xf>
    <xf numFmtId="2" fontId="38" fillId="14" borderId="4" xfId="0" applyNumberFormat="1" applyFont="1" applyFill="1" applyBorder="1" applyAlignment="1" applyProtection="1">
      <alignment horizontal="left" vertical="top" wrapText="1"/>
      <protection locked="0"/>
    </xf>
    <xf numFmtId="2" fontId="38" fillId="14" borderId="5" xfId="0" applyNumberFormat="1" applyFont="1" applyFill="1" applyBorder="1" applyAlignment="1" applyProtection="1">
      <alignment horizontal="left" vertical="top" wrapText="1"/>
      <protection locked="0"/>
    </xf>
    <xf numFmtId="2" fontId="38" fillId="14" borderId="3" xfId="0" applyNumberFormat="1" applyFont="1" applyFill="1" applyBorder="1" applyAlignment="1" applyProtection="1">
      <alignment horizontal="left" vertical="top" wrapText="1"/>
      <protection locked="0"/>
    </xf>
    <xf numFmtId="0" fontId="40" fillId="12" borderId="0" xfId="3" applyFont="1" applyFill="1" applyBorder="1" applyAlignment="1" applyProtection="1">
      <alignment horizontal="center" vertical="top" wrapText="1"/>
    </xf>
    <xf numFmtId="0" fontId="40" fillId="15" borderId="38" xfId="4" applyFont="1" applyFill="1" applyBorder="1" applyAlignment="1" applyProtection="1">
      <alignment horizontal="center" vertical="top"/>
    </xf>
    <xf numFmtId="0" fontId="40" fillId="15" borderId="39" xfId="4" applyFont="1" applyFill="1" applyBorder="1" applyAlignment="1" applyProtection="1">
      <alignment horizontal="center" vertical="top"/>
    </xf>
    <xf numFmtId="0" fontId="40" fillId="15" borderId="40" xfId="4" applyFont="1" applyFill="1" applyBorder="1" applyAlignment="1" applyProtection="1">
      <alignment horizontal="center" vertical="top"/>
    </xf>
    <xf numFmtId="0" fontId="14" fillId="15" borderId="0" xfId="0" applyFont="1" applyFill="1" applyAlignment="1">
      <alignment horizontal="right" vertical="center"/>
    </xf>
    <xf numFmtId="0" fontId="14" fillId="15" borderId="27" xfId="0" applyFont="1" applyFill="1" applyBorder="1" applyAlignment="1">
      <alignment horizontal="right" vertical="center"/>
    </xf>
    <xf numFmtId="2" fontId="13" fillId="14" borderId="12" xfId="0" applyNumberFormat="1" applyFont="1" applyFill="1" applyBorder="1" applyAlignment="1" applyProtection="1">
      <alignment horizontal="left" vertical="top" wrapText="1"/>
      <protection locked="0"/>
    </xf>
    <xf numFmtId="2" fontId="13" fillId="14" borderId="6" xfId="0" applyNumberFormat="1" applyFont="1" applyFill="1" applyBorder="1" applyAlignment="1" applyProtection="1">
      <alignment horizontal="left" vertical="top" wrapText="1"/>
      <protection locked="0"/>
    </xf>
    <xf numFmtId="2" fontId="13" fillId="14" borderId="13" xfId="0" applyNumberFormat="1" applyFont="1" applyFill="1" applyBorder="1" applyAlignment="1" applyProtection="1">
      <alignment horizontal="left" vertical="top" wrapText="1"/>
      <protection locked="0"/>
    </xf>
    <xf numFmtId="2" fontId="13" fillId="14" borderId="26" xfId="0" applyNumberFormat="1" applyFont="1" applyFill="1" applyBorder="1" applyAlignment="1" applyProtection="1">
      <alignment horizontal="left" vertical="top" wrapText="1"/>
      <protection locked="0"/>
    </xf>
    <xf numFmtId="2" fontId="13" fillId="14" borderId="0" xfId="0" applyNumberFormat="1" applyFont="1" applyFill="1" applyAlignment="1" applyProtection="1">
      <alignment horizontal="left" vertical="top" wrapText="1"/>
      <protection locked="0"/>
    </xf>
    <xf numFmtId="2" fontId="13" fillId="14" borderId="27" xfId="0" applyNumberFormat="1" applyFont="1" applyFill="1" applyBorder="1" applyAlignment="1" applyProtection="1">
      <alignment horizontal="left" vertical="top" wrapText="1"/>
      <protection locked="0"/>
    </xf>
    <xf numFmtId="2" fontId="13" fillId="14" borderId="8" xfId="0" applyNumberFormat="1" applyFont="1" applyFill="1" applyBorder="1" applyAlignment="1" applyProtection="1">
      <alignment horizontal="left" vertical="top" wrapText="1"/>
      <protection locked="0"/>
    </xf>
    <xf numFmtId="2" fontId="13" fillId="14" borderId="9" xfId="0" applyNumberFormat="1" applyFont="1" applyFill="1" applyBorder="1" applyAlignment="1" applyProtection="1">
      <alignment horizontal="left" vertical="top" wrapText="1"/>
      <protection locked="0"/>
    </xf>
    <xf numFmtId="2" fontId="13" fillId="14" borderId="10" xfId="0" applyNumberFormat="1" applyFont="1" applyFill="1" applyBorder="1" applyAlignment="1" applyProtection="1">
      <alignment horizontal="left" vertical="top" wrapText="1"/>
      <protection locked="0"/>
    </xf>
    <xf numFmtId="14" fontId="55" fillId="14" borderId="0" xfId="4" applyNumberFormat="1" applyFont="1" applyFill="1" applyBorder="1" applyAlignment="1" applyProtection="1">
      <alignment horizontal="left" vertical="center"/>
      <protection locked="0"/>
    </xf>
    <xf numFmtId="43" fontId="55" fillId="14" borderId="0" xfId="4" applyNumberFormat="1" applyFont="1" applyFill="1" applyBorder="1" applyAlignment="1" applyProtection="1">
      <alignment horizontal="left" vertical="center"/>
      <protection locked="0"/>
    </xf>
    <xf numFmtId="43" fontId="57" fillId="0" borderId="0" xfId="4" applyNumberFormat="1" applyFont="1" applyFill="1" applyBorder="1" applyAlignment="1" applyProtection="1">
      <alignment horizontal="left" vertical="center"/>
    </xf>
    <xf numFmtId="43" fontId="19" fillId="0" borderId="1" xfId="7" applyFont="1" applyBorder="1" applyAlignment="1" applyProtection="1">
      <alignment horizontal="left"/>
    </xf>
    <xf numFmtId="0" fontId="2" fillId="8" borderId="1" xfId="6" applyFill="1" applyBorder="1" applyAlignment="1">
      <alignment horizontal="center"/>
    </xf>
    <xf numFmtId="0" fontId="2" fillId="7" borderId="1" xfId="6" applyFill="1" applyBorder="1" applyAlignment="1">
      <alignment horizontal="center"/>
    </xf>
    <xf numFmtId="0" fontId="2" fillId="9" borderId="1" xfId="6" applyFill="1" applyBorder="1" applyAlignment="1">
      <alignment horizontal="center"/>
    </xf>
    <xf numFmtId="1" fontId="18" fillId="0" borderId="1" xfId="8" applyNumberFormat="1" applyFont="1" applyFill="1" applyBorder="1" applyAlignment="1" applyProtection="1">
      <alignment horizontal="center" vertical="center"/>
    </xf>
    <xf numFmtId="0" fontId="31" fillId="0" borderId="1" xfId="6" applyFont="1" applyBorder="1" applyAlignment="1">
      <alignment horizontal="left" vertical="top" wrapText="1"/>
    </xf>
    <xf numFmtId="43"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7" borderId="1" xfId="0" applyFont="1" applyFill="1" applyBorder="1" applyAlignment="1">
      <alignment horizontal="center" vertical="top"/>
    </xf>
  </cellXfs>
  <cellStyles count="13">
    <cellStyle name="20% - Accent3" xfId="4" builtinId="38"/>
    <cellStyle name="20% - Accent3 2" xfId="8" xr:uid="{00000000-0005-0000-0000-000001000000}"/>
    <cellStyle name="Accent2" xfId="3" builtinId="33"/>
    <cellStyle name="Accent2 2" xfId="11" xr:uid="{00000000-0005-0000-0000-000003000000}"/>
    <cellStyle name="Accent4" xfId="5" builtinId="41"/>
    <cellStyle name="Comma" xfId="1" builtinId="3"/>
    <cellStyle name="Comma 2" xfId="7" xr:uid="{00000000-0005-0000-0000-000006000000}"/>
    <cellStyle name="Comma 3" xfId="10" xr:uid="{00000000-0005-0000-0000-000007000000}"/>
    <cellStyle name="Normal" xfId="0" builtinId="0"/>
    <cellStyle name="Normal 2" xfId="6" xr:uid="{00000000-0005-0000-0000-000009000000}"/>
    <cellStyle name="Normal 3" xfId="9" xr:uid="{00000000-0005-0000-0000-00000A000000}"/>
    <cellStyle name="Normal 4" xfId="12" xr:uid="{00000000-0005-0000-0000-00000B000000}"/>
    <cellStyle name="Percent" xfId="2" builtinId="5"/>
  </cellStyles>
  <dxfs count="3">
    <dxf>
      <numFmt numFmtId="165" formatCode=";;;"/>
    </dxf>
    <dxf>
      <numFmt numFmtId="165" formatCode=";;;"/>
    </dxf>
    <dxf>
      <numFmt numFmtId="165"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205104</xdr:colOff>
      <xdr:row>25</xdr:row>
      <xdr:rowOff>153669</xdr:rowOff>
    </xdr:from>
    <xdr:to>
      <xdr:col>4</xdr:col>
      <xdr:colOff>290830</xdr:colOff>
      <xdr:row>32</xdr:row>
      <xdr:rowOff>1386840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5104" y="5773419"/>
          <a:ext cx="5286376" cy="6214746"/>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Default of 52.5 hours to cover all WPRs.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Default of 18.75 hours. To make a change, Select Number of meetings, Meeting Duration, Number of Participants and Prep Time per Participant in columns J, K , L &amp; M.</a:t>
          </a:r>
        </a:p>
        <a:p>
          <a:pPr lvl="1" algn="l"/>
          <a:r>
            <a:rPr lang="en-US" sz="1100" b="1" baseline="0">
              <a:solidFill>
                <a:schemeClr val="tx1"/>
              </a:solidFill>
            </a:rPr>
            <a:t>Time spent on Estimates (Initial, Detail &amp; Final): </a:t>
          </a:r>
          <a:r>
            <a:rPr lang="en-US" sz="1100" baseline="0">
              <a:solidFill>
                <a:schemeClr val="tx1"/>
              </a:solidFill>
            </a:rPr>
            <a:t>Enter the time spent on estimation, preparing the initial estimate summary, filling the detail and final estimate spreadsheets.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30480</xdr:colOff>
          <xdr:row>22</xdr:row>
          <xdr:rowOff>30480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23</xdr:row>
          <xdr:rowOff>30480</xdr:rowOff>
        </xdr:from>
        <xdr:to>
          <xdr:col>0</xdr:col>
          <xdr:colOff>1440180</xdr:colOff>
          <xdr:row>23</xdr:row>
          <xdr:rowOff>259080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32</xdr:row>
          <xdr:rowOff>30480</xdr:rowOff>
        </xdr:from>
        <xdr:to>
          <xdr:col>0</xdr:col>
          <xdr:colOff>1440180</xdr:colOff>
          <xdr:row>32</xdr:row>
          <xdr:rowOff>259080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39</xdr:row>
          <xdr:rowOff>30480</xdr:rowOff>
        </xdr:from>
        <xdr:to>
          <xdr:col>0</xdr:col>
          <xdr:colOff>1440180</xdr:colOff>
          <xdr:row>39</xdr:row>
          <xdr:rowOff>259080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44</xdr:row>
          <xdr:rowOff>30480</xdr:rowOff>
        </xdr:from>
        <xdr:to>
          <xdr:col>0</xdr:col>
          <xdr:colOff>1440180</xdr:colOff>
          <xdr:row>44</xdr:row>
          <xdr:rowOff>259080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49</xdr:row>
          <xdr:rowOff>30480</xdr:rowOff>
        </xdr:from>
        <xdr:to>
          <xdr:col>0</xdr:col>
          <xdr:colOff>1440180</xdr:colOff>
          <xdr:row>49</xdr:row>
          <xdr:rowOff>259080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55</xdr:row>
          <xdr:rowOff>30480</xdr:rowOff>
        </xdr:from>
        <xdr:to>
          <xdr:col>0</xdr:col>
          <xdr:colOff>1440180</xdr:colOff>
          <xdr:row>55</xdr:row>
          <xdr:rowOff>259080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62</xdr:row>
          <xdr:rowOff>30480</xdr:rowOff>
        </xdr:from>
        <xdr:to>
          <xdr:col>0</xdr:col>
          <xdr:colOff>1440180</xdr:colOff>
          <xdr:row>62</xdr:row>
          <xdr:rowOff>259080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67</xdr:row>
          <xdr:rowOff>30480</xdr:rowOff>
        </xdr:from>
        <xdr:to>
          <xdr:col>0</xdr:col>
          <xdr:colOff>1440180</xdr:colOff>
          <xdr:row>67</xdr:row>
          <xdr:rowOff>259080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72</xdr:row>
          <xdr:rowOff>30480</xdr:rowOff>
        </xdr:from>
        <xdr:to>
          <xdr:col>0</xdr:col>
          <xdr:colOff>1440180</xdr:colOff>
          <xdr:row>72</xdr:row>
          <xdr:rowOff>259080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86</xdr:row>
          <xdr:rowOff>30480</xdr:rowOff>
        </xdr:from>
        <xdr:to>
          <xdr:col>0</xdr:col>
          <xdr:colOff>1440180</xdr:colOff>
          <xdr:row>86</xdr:row>
          <xdr:rowOff>259080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77</xdr:row>
          <xdr:rowOff>30480</xdr:rowOff>
        </xdr:from>
        <xdr:to>
          <xdr:col>0</xdr:col>
          <xdr:colOff>1440180</xdr:colOff>
          <xdr:row>77</xdr:row>
          <xdr:rowOff>259080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29</xdr:row>
          <xdr:rowOff>30480</xdr:rowOff>
        </xdr:from>
        <xdr:to>
          <xdr:col>0</xdr:col>
          <xdr:colOff>2164080</xdr:colOff>
          <xdr:row>30</xdr:row>
          <xdr:rowOff>30480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means2\AppData\Local\Microsoft\Windows\INetCache\Content.Outlook\88OVWX65\CO%2023810%20002%20Initial%20Estimate%20V1.0%20-%20T-MSIS.xlsm" TargetMode="External"/><Relationship Id="rId1" Type="http://schemas.openxmlformats.org/officeDocument/2006/relationships/externalLinkPath" Target="file:///C:\Users\rmeans2\AppData\Local\Microsoft\Windows\INetCache\Content.Outlook\88OVWX65\CO%2023810%20002%20Initial%20Estimate%20V1.0%20-%20T-M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RT"/>
      <sheetName val="InitialEstimate"/>
      <sheetName val="Dtl EstimateSummary"/>
      <sheetName val="Dtl SE_ModuleDoco"/>
      <sheetName val="Dtl BA_Considerations"/>
      <sheetName val="Dtl Collaboration_Quality"/>
      <sheetName val="FinalEstimate"/>
      <sheetName val="IntialEstWeightedValues"/>
      <sheetName val="DetailedEstWeightedValues"/>
      <sheetName val="Version History"/>
    </sheetNames>
    <sheetDataSet>
      <sheetData sheetId="0"/>
      <sheetData sheetId="1"/>
      <sheetData sheetId="2"/>
      <sheetData sheetId="3"/>
      <sheetData sheetId="4"/>
      <sheetData sheetId="5"/>
      <sheetData sheetId="6"/>
      <sheetData sheetId="7">
        <row r="6">
          <cell r="A6" t="str">
            <v>PowerBuilder Windows</v>
          </cell>
          <cell r="B6">
            <v>25</v>
          </cell>
          <cell r="C6">
            <v>20.94</v>
          </cell>
          <cell r="D6">
            <v>75</v>
          </cell>
          <cell r="E6">
            <v>60.63</v>
          </cell>
          <cell r="F6">
            <v>125</v>
          </cell>
          <cell r="G6">
            <v>100</v>
          </cell>
        </row>
        <row r="7">
          <cell r="A7" t="str">
            <v>Reports</v>
          </cell>
          <cell r="B7">
            <v>17</v>
          </cell>
          <cell r="C7">
            <v>13.6</v>
          </cell>
          <cell r="D7">
            <v>51</v>
          </cell>
          <cell r="E7">
            <v>40.799999999999997</v>
          </cell>
          <cell r="F7">
            <v>85</v>
          </cell>
          <cell r="G7">
            <v>68</v>
          </cell>
        </row>
        <row r="8">
          <cell r="A8" t="str">
            <v>Programs/DB Stored Procedures</v>
          </cell>
          <cell r="B8">
            <v>46</v>
          </cell>
          <cell r="C8">
            <v>36.799999999999997</v>
          </cell>
          <cell r="D8">
            <v>115</v>
          </cell>
          <cell r="E8">
            <v>92</v>
          </cell>
          <cell r="F8">
            <v>294.39999999999998</v>
          </cell>
          <cell r="G8">
            <v>235.52500000000001</v>
          </cell>
        </row>
        <row r="9">
          <cell r="A9" t="str">
            <v>Support Modules/JOB/JIL
.c,.sc,.ctl,.mak,.pl,.ar,.h,.l,.pkb,.pks,.y,.addidx,.awk,.ctl,.cfg,.conf,.html,.lst,.out,.pls,.par,.ps,.prm,.prn,.sql,.shl,.srt,.txt,.xml,.xsd,.xsl</v>
          </cell>
          <cell r="B9">
            <v>5</v>
          </cell>
          <cell r="C9">
            <v>4.0625</v>
          </cell>
          <cell r="D9">
            <v>11.875</v>
          </cell>
          <cell r="E9">
            <v>9.6875</v>
          </cell>
          <cell r="F9">
            <v>26.875</v>
          </cell>
          <cell r="G9">
            <v>21.5625</v>
          </cell>
        </row>
        <row r="10">
          <cell r="A10" t="str">
            <v>DB Manipulation (SQL, PL/SQL, etc.)</v>
          </cell>
          <cell r="B10">
            <v>5.9375</v>
          </cell>
          <cell r="C10">
            <v>4.6875</v>
          </cell>
          <cell r="D10">
            <v>15</v>
          </cell>
          <cell r="E10">
            <v>11.875</v>
          </cell>
          <cell r="F10">
            <v>31.875</v>
          </cell>
          <cell r="G10">
            <v>25.625</v>
          </cell>
        </row>
        <row r="11">
          <cell r="A11" t="str">
            <v>Database review</v>
          </cell>
          <cell r="B11">
            <v>8.125</v>
          </cell>
          <cell r="C11">
            <v>6.1</v>
          </cell>
          <cell r="D11">
            <v>8.125</v>
          </cell>
          <cell r="E11">
            <v>6.1</v>
          </cell>
          <cell r="F11">
            <v>8.125</v>
          </cell>
          <cell r="G11">
            <v>6.1</v>
          </cell>
        </row>
        <row r="12">
          <cell r="A12" t="str">
            <v>Webpage (Includes UI, Portal &amp; Intranet)</v>
          </cell>
          <cell r="B12">
            <v>20</v>
          </cell>
          <cell r="C12">
            <v>16</v>
          </cell>
          <cell r="D12">
            <v>60</v>
          </cell>
          <cell r="E12">
            <v>48</v>
          </cell>
          <cell r="F12">
            <v>90</v>
          </cell>
          <cell r="G12">
            <v>75</v>
          </cell>
        </row>
        <row r="13">
          <cell r="A13" t="str">
            <v xml:space="preserve">K2 Workflow </v>
          </cell>
          <cell r="B13">
            <v>50</v>
          </cell>
          <cell r="C13">
            <v>35</v>
          </cell>
          <cell r="D13">
            <v>100</v>
          </cell>
          <cell r="E13">
            <v>80</v>
          </cell>
          <cell r="F13">
            <v>200</v>
          </cell>
          <cell r="G13">
            <v>150</v>
          </cell>
        </row>
        <row r="14">
          <cell r="A14" t="str">
            <v>K2 Smart Form</v>
          </cell>
          <cell r="B14">
            <v>15</v>
          </cell>
          <cell r="C14">
            <v>10</v>
          </cell>
          <cell r="D14">
            <v>50</v>
          </cell>
          <cell r="E14">
            <v>35</v>
          </cell>
          <cell r="F14">
            <v>90</v>
          </cell>
          <cell r="G14">
            <v>75</v>
          </cell>
        </row>
        <row r="15">
          <cell r="A15" t="str">
            <v>Test Automation Suites (UFT)</v>
          </cell>
          <cell r="B15">
            <v>3</v>
          </cell>
          <cell r="C15">
            <v>5</v>
          </cell>
          <cell r="D15">
            <v>8</v>
          </cell>
          <cell r="E15">
            <v>1</v>
          </cell>
          <cell r="F15">
            <v>2.5</v>
          </cell>
          <cell r="G15">
            <v>5</v>
          </cell>
        </row>
        <row r="16">
          <cell r="A16" t="str">
            <v>MISC (Server setup, Webserver setup, Software Installation, etc.)</v>
          </cell>
          <cell r="B16">
            <v>20</v>
          </cell>
          <cell r="C16">
            <v>10</v>
          </cell>
          <cell r="D16">
            <v>50</v>
          </cell>
          <cell r="E16">
            <v>25</v>
          </cell>
          <cell r="F16">
            <v>100</v>
          </cell>
          <cell r="G16">
            <v>50</v>
          </cell>
        </row>
      </sheetData>
      <sheetData sheetId="8"/>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tabSelected="1" workbookViewId="0">
      <selection activeCell="H8" sqref="H8"/>
    </sheetView>
  </sheetViews>
  <sheetFormatPr defaultRowHeight="13.2"/>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O69"/>
  <sheetViews>
    <sheetView zoomScale="73" zoomScaleNormal="160" workbookViewId="0">
      <selection activeCell="J9" sqref="J9"/>
    </sheetView>
  </sheetViews>
  <sheetFormatPr defaultColWidth="9.44140625" defaultRowHeight="13.8"/>
  <cols>
    <col min="1" max="1" width="25.44140625" style="101" bestFit="1" customWidth="1"/>
    <col min="2" max="2" width="22.44140625" style="101" bestFit="1" customWidth="1"/>
    <col min="3" max="3" width="22.44140625" style="101" customWidth="1"/>
    <col min="4" max="4" width="13.44140625" style="101" customWidth="1"/>
    <col min="5" max="5" width="9.44140625" style="101"/>
    <col min="6" max="6" width="45.44140625" style="101" customWidth="1"/>
    <col min="7" max="7" width="8.44140625" style="101" bestFit="1" customWidth="1"/>
    <col min="8" max="8" width="25.44140625" style="101" customWidth="1"/>
    <col min="9" max="9" width="11.44140625" style="101" bestFit="1" customWidth="1"/>
    <col min="10" max="10" width="16.44140625" style="101" customWidth="1"/>
    <col min="11" max="11" width="11.44140625" style="101" customWidth="1"/>
    <col min="12" max="13" width="12.44140625" style="101" customWidth="1"/>
    <col min="14" max="15" width="11.44140625" style="101" customWidth="1"/>
    <col min="16" max="16384" width="9.44140625" style="101"/>
  </cols>
  <sheetData>
    <row r="1" spans="1:12">
      <c r="A1" s="35" t="s">
        <v>126</v>
      </c>
      <c r="B1" s="311">
        <v>2.8</v>
      </c>
    </row>
    <row r="2" spans="1:12" ht="54.75" customHeight="1">
      <c r="A2" s="35" t="s">
        <v>20</v>
      </c>
      <c r="B2" s="397" t="s">
        <v>256</v>
      </c>
      <c r="C2" s="397"/>
      <c r="D2" s="397"/>
      <c r="E2" s="397"/>
      <c r="F2" s="397"/>
      <c r="G2" s="100"/>
      <c r="H2" s="100"/>
      <c r="I2" s="100"/>
      <c r="J2" s="100"/>
      <c r="K2" s="100"/>
    </row>
    <row r="3" spans="1:12" s="102" customFormat="1" ht="17.399999999999999">
      <c r="A3" s="401" t="s">
        <v>48</v>
      </c>
      <c r="B3" s="401"/>
      <c r="C3" s="401"/>
      <c r="D3" s="401"/>
      <c r="E3" s="401"/>
      <c r="F3" s="402" t="s">
        <v>381</v>
      </c>
      <c r="G3" s="403"/>
      <c r="H3" s="237" t="s">
        <v>21</v>
      </c>
      <c r="I3" s="250">
        <f>ROUNDUP(I38,0)</f>
        <v>1904</v>
      </c>
      <c r="J3" s="101"/>
      <c r="K3" s="101"/>
      <c r="L3" s="101"/>
    </row>
    <row r="4" spans="1:12" s="102" customFormat="1" ht="17.399999999999999">
      <c r="A4" s="306"/>
      <c r="B4" s="306"/>
      <c r="C4" s="306"/>
      <c r="D4" s="306"/>
      <c r="E4" s="306"/>
      <c r="F4" s="307"/>
      <c r="G4" s="308"/>
      <c r="H4" s="237"/>
      <c r="I4" s="250"/>
      <c r="J4" s="101"/>
      <c r="K4" s="101"/>
      <c r="L4" s="101"/>
    </row>
    <row r="5" spans="1:12" s="102" customFormat="1" ht="17.399999999999999">
      <c r="A5" s="306" t="s">
        <v>286</v>
      </c>
      <c r="B5" s="306"/>
      <c r="C5" s="306"/>
      <c r="D5" s="306"/>
      <c r="E5" s="306"/>
      <c r="F5" s="307"/>
      <c r="G5" s="308"/>
      <c r="H5" s="237" t="s">
        <v>128</v>
      </c>
      <c r="I5" s="251" t="str">
        <f>I39</f>
        <v>XL1</v>
      </c>
      <c r="J5" s="101"/>
      <c r="K5" s="101"/>
      <c r="L5" s="101"/>
    </row>
    <row r="6" spans="1:12" s="103" customFormat="1">
      <c r="A6" s="273" t="s">
        <v>194</v>
      </c>
      <c r="B6" s="309" t="s">
        <v>253</v>
      </c>
      <c r="C6" s="309" t="s">
        <v>254</v>
      </c>
      <c r="D6" s="273" t="s">
        <v>195</v>
      </c>
      <c r="E6" s="273" t="s">
        <v>130</v>
      </c>
      <c r="F6" s="305" t="s">
        <v>115</v>
      </c>
      <c r="G6" s="273" t="s">
        <v>191</v>
      </c>
      <c r="J6" s="101"/>
      <c r="K6" s="101"/>
      <c r="L6" s="101"/>
    </row>
    <row r="7" spans="1:12" s="341" customFormat="1" ht="82.8">
      <c r="A7" s="335"/>
      <c r="B7" s="336" t="s">
        <v>37</v>
      </c>
      <c r="C7" s="394" t="s">
        <v>376</v>
      </c>
      <c r="D7" s="337" t="s">
        <v>18</v>
      </c>
      <c r="E7" s="337" t="s">
        <v>1</v>
      </c>
      <c r="F7" s="338">
        <v>2</v>
      </c>
      <c r="G7" s="367">
        <f>IF(ISBLANK(#REF!),0,IFERROR(VLOOKUP(B7,IntialEstWeightedValues!$A$6:$G$17,IF(E7="Small",IF(D7="New",2,3),IF(E7="Medium",IF(D7="New",4,5),IF(E7="Large",IF(D7="New",6,7)))),FALSE),0)) * IF(ISBLANK(F7),0,F7)</f>
        <v>12.2</v>
      </c>
    </row>
    <row r="8" spans="1:12" s="341" customFormat="1" ht="96.6">
      <c r="A8" s="335"/>
      <c r="B8" s="336" t="s">
        <v>244</v>
      </c>
      <c r="C8" s="394" t="s">
        <v>377</v>
      </c>
      <c r="D8" s="337" t="s">
        <v>18</v>
      </c>
      <c r="E8" s="337" t="s">
        <v>1</v>
      </c>
      <c r="F8" s="338">
        <v>2</v>
      </c>
      <c r="G8" s="367">
        <f>IF(ISBLANK(#REF!),0,IFERROR(VLOOKUP(B8,IntialEstWeightedValues!$A$6:$G$17,IF(E8="Small",IF(D8="New",2,3),IF(E8="Medium",IF(D8="New",4,5),IF(E8="Large",IF(D8="New",6,7)))),FALSE),0)) * IF(ISBLANK(F8),0,F8)</f>
        <v>20</v>
      </c>
    </row>
    <row r="9" spans="1:12" s="341" customFormat="1" ht="55.2">
      <c r="A9" s="335"/>
      <c r="B9" s="336" t="s">
        <v>244</v>
      </c>
      <c r="C9" s="257" t="s">
        <v>378</v>
      </c>
      <c r="D9" s="337" t="s">
        <v>18</v>
      </c>
      <c r="E9" s="337" t="s">
        <v>1</v>
      </c>
      <c r="F9" s="338">
        <v>12</v>
      </c>
      <c r="G9" s="367">
        <f>IF(ISBLANK(#REF!),0,IFERROR(VLOOKUP(B9,IntialEstWeightedValues!$A$6:$G$17,IF(E9="Small",IF(D9="New",2,3),IF(E9="Medium",IF(D9="New",4,5),IF(E9="Large",IF(D9="New",6,7)))),FALSE),0)) * IF(ISBLANK(F9),0,F9)</f>
        <v>120</v>
      </c>
    </row>
    <row r="10" spans="1:12" s="341" customFormat="1" ht="55.2">
      <c r="A10" s="335"/>
      <c r="B10" s="336" t="s">
        <v>244</v>
      </c>
      <c r="C10" s="249" t="s">
        <v>379</v>
      </c>
      <c r="D10" s="337" t="s">
        <v>18</v>
      </c>
      <c r="E10" s="337" t="s">
        <v>1</v>
      </c>
      <c r="F10" s="338">
        <v>15</v>
      </c>
      <c r="G10" s="367">
        <f>IF(ISBLANK(#REF!),0,IFERROR(VLOOKUP(B10,IntialEstWeightedValues!$A$6:$G$17,IF(E10="Small",IF(D10="New",2,3),IF(E10="Medium",IF(D10="New",4,5),IF(E10="Large",IF(D10="New",6,7)))),FALSE),0)) * IF(ISBLANK(F10),0,F10)</f>
        <v>150</v>
      </c>
      <c r="I10" s="342"/>
    </row>
    <row r="11" spans="1:12" s="341" customFormat="1">
      <c r="A11" s="335"/>
      <c r="B11" s="336" t="s">
        <v>207</v>
      </c>
      <c r="C11" s="336"/>
      <c r="D11" s="337" t="s">
        <v>18</v>
      </c>
      <c r="E11" s="337" t="s">
        <v>131</v>
      </c>
      <c r="F11" s="338">
        <v>1</v>
      </c>
      <c r="G11" s="367">
        <f>IF(ISBLANK(#REF!),0,IFERROR(VLOOKUP(B11,IntialEstWeightedValues!$A$6:$G$17,IF(E11="Small",IF(D11="New",2,3),IF(E11="Medium",IF(D11="New",4,5),IF(E11="Large",IF(D11="New",6,7)))),FALSE),0)) * IF(ISBLANK(F11),0,F11)</f>
        <v>60.63</v>
      </c>
    </row>
    <row r="12" spans="1:12" s="341" customFormat="1" ht="27.6">
      <c r="A12" s="335"/>
      <c r="B12" s="336" t="s">
        <v>153</v>
      </c>
      <c r="C12" s="336" t="s">
        <v>382</v>
      </c>
      <c r="D12" s="337" t="s">
        <v>18</v>
      </c>
      <c r="E12" s="337" t="s">
        <v>2</v>
      </c>
      <c r="F12" s="338">
        <v>1</v>
      </c>
      <c r="G12" s="367">
        <f>IF(ISBLANK(#REF!),0,IFERROR(VLOOKUP(B12,IntialEstWeightedValues!$A$6:$G$17,IF(E12="Small",IF(D12="New",2,3),IF(E12="Medium",IF(D12="New",4,5),IF(E12="Large",IF(D12="New",6,7)))),FALSE),0)) * IF(ISBLANK(F12),0,F12)</f>
        <v>235.52500000000001</v>
      </c>
    </row>
    <row r="13" spans="1:12" s="341" customFormat="1" ht="151.80000000000001">
      <c r="A13" s="335" t="s">
        <v>384</v>
      </c>
      <c r="B13" s="336" t="s">
        <v>243</v>
      </c>
      <c r="C13" s="336" t="s">
        <v>385</v>
      </c>
      <c r="D13" s="337" t="s">
        <v>18</v>
      </c>
      <c r="E13" s="337" t="s">
        <v>1</v>
      </c>
      <c r="F13" s="338">
        <v>5</v>
      </c>
      <c r="G13" s="367">
        <f>IF(ISBLANK(#REF!),0,IFERROR(VLOOKUP(B13,[1]IntialEstWeightedValues!$A$6:$G$17,IF(E13="Small",IF(D13="New",2,3),IF(E13="Medium",IF(D13="New",4,5),IF(E13="Large",IF(D13="New",6,7)))),FALSE),0)) * IF(ISBLANK(F13),0,F13)</f>
        <v>23.4375</v>
      </c>
    </row>
    <row r="14" spans="1:12" s="341" customFormat="1" ht="55.2">
      <c r="A14" s="335"/>
      <c r="B14" s="336" t="s">
        <v>244</v>
      </c>
      <c r="C14" s="336" t="s">
        <v>383</v>
      </c>
      <c r="D14" s="337" t="s">
        <v>18</v>
      </c>
      <c r="E14" s="337" t="s">
        <v>1</v>
      </c>
      <c r="F14" s="338">
        <v>1</v>
      </c>
      <c r="G14" s="367">
        <f>IF(ISBLANK(#REF!),0,IFERROR(VLOOKUP(B14,IntialEstWeightedValues!$A$6:$G$17,IF(E14="Small",IF(D14="New",2,3),IF(E14="Medium",IF(D14="New",4,5),IF(E14="Large",IF(D14="New",6,7)))),FALSE),0)) * IF(ISBLANK(F14),0,F14)</f>
        <v>10</v>
      </c>
    </row>
    <row r="15" spans="1:12" s="341" customFormat="1">
      <c r="A15" s="335"/>
      <c r="B15" s="336"/>
      <c r="C15" s="336"/>
      <c r="D15" s="337"/>
      <c r="E15" s="337"/>
      <c r="F15" s="338"/>
      <c r="G15" s="367">
        <f>IF(ISBLANK(#REF!),0,IFERROR(VLOOKUP(B15,IntialEstWeightedValues!$A$6:$G$17,IF(E15="Small",IF(D15="New",2,3),IF(E15="Medium",IF(D15="New",4,5),IF(E15="Large",IF(D15="New",6,7)))),FALSE),0)) * IF(ISBLANK(F15),0,F15)</f>
        <v>0</v>
      </c>
    </row>
    <row r="16" spans="1:12" s="341" customFormat="1">
      <c r="A16" s="335"/>
      <c r="B16" s="336"/>
      <c r="C16" s="336"/>
      <c r="D16" s="337"/>
      <c r="E16" s="337"/>
      <c r="F16" s="338"/>
      <c r="G16" s="367">
        <f>IF(ISBLANK(#REF!),0,IFERROR(VLOOKUP(B16,IntialEstWeightedValues!$A$6:$G$17,IF(E16="Small",IF(D16="New",2,3),IF(E16="Medium",IF(D16="New",4,5),IF(E16="Large",IF(D16="New",6,7)))),FALSE),0)) * IF(ISBLANK(F16),0,F16)</f>
        <v>0</v>
      </c>
    </row>
    <row r="17" spans="1:15" s="341" customFormat="1">
      <c r="A17" s="335"/>
      <c r="B17" s="336"/>
      <c r="C17" s="336"/>
      <c r="D17" s="337"/>
      <c r="E17" s="337"/>
      <c r="F17" s="338"/>
      <c r="G17" s="367">
        <f>IF(ISBLANK(#REF!),0,IFERROR(VLOOKUP(B17,IntialEstWeightedValues!$A$6:$G$17,IF(E17="Small",IF(D17="New",2,3),IF(E17="Medium",IF(D17="New",4,5),IF(E17="Large",IF(D17="New",6,7)))),FALSE),0)) * IF(ISBLANK(F17),0,F17)</f>
        <v>0</v>
      </c>
    </row>
    <row r="18" spans="1:15" s="341" customFormat="1">
      <c r="A18" s="335"/>
      <c r="B18" s="336"/>
      <c r="C18" s="336"/>
      <c r="D18" s="337"/>
      <c r="E18" s="337"/>
      <c r="F18" s="338"/>
      <c r="G18" s="367">
        <f>IF(ISBLANK(#REF!),0,IFERROR(VLOOKUP(B18,IntialEstWeightedValues!$A$6:$G$17,IF(E18="Small",IF(D18="New",2,3),IF(E18="Medium",IF(D18="New",4,5),IF(E18="Large",IF(D18="New",6,7)))),FALSE),0)) * IF(ISBLANK(F18),0,F18)</f>
        <v>0</v>
      </c>
    </row>
    <row r="19" spans="1:15" s="341" customFormat="1">
      <c r="A19" s="335"/>
      <c r="B19" s="336"/>
      <c r="C19" s="336"/>
      <c r="D19" s="337"/>
      <c r="E19" s="337"/>
      <c r="F19" s="338"/>
      <c r="G19" s="367">
        <f>IF(ISBLANK(#REF!),0,IFERROR(VLOOKUP(B19,IntialEstWeightedValues!$A$6:$G$17,IF(E19="Small",IF(D19="New",2,3),IF(E19="Medium",IF(D19="New",4,5),IF(E19="Large",IF(D19="New",6,7)))),FALSE),0)) * IF(ISBLANK(F19),0,F19)</f>
        <v>0</v>
      </c>
    </row>
    <row r="20" spans="1:15" s="341" customFormat="1">
      <c r="A20" s="335"/>
      <c r="B20" s="336"/>
      <c r="C20" s="336"/>
      <c r="D20" s="337"/>
      <c r="E20" s="337"/>
      <c r="F20" s="338"/>
      <c r="G20" s="367">
        <f>IF(ISBLANK(#REF!),0,IFERROR(VLOOKUP(B20,IntialEstWeightedValues!$A$6:$G$17,IF(E20="Small",IF(D20="New",2,3),IF(E20="Medium",IF(D20="New",4,5),IF(E20="Large",IF(D20="New",6,7)))),FALSE),0)) * IF(ISBLANK(F20),0,F20)</f>
        <v>0</v>
      </c>
    </row>
    <row r="21" spans="1:15" s="341" customFormat="1">
      <c r="A21" s="335"/>
      <c r="B21" s="336"/>
      <c r="C21" s="336"/>
      <c r="D21" s="337"/>
      <c r="E21" s="337"/>
      <c r="F21" s="338"/>
      <c r="G21" s="367">
        <f>IF(ISBLANK(#REF!),0,IFERROR(VLOOKUP(B21,IntialEstWeightedValues!$A$6:$G$17,IF(E21="Small",IF(D21="New",2,3),IF(E21="Medium",IF(D21="New",4,5),IF(E21="Large",IF(D21="New",6,7)))),FALSE),0)) * IF(ISBLANK(F21),0,F21)</f>
        <v>0</v>
      </c>
    </row>
    <row r="22" spans="1:15" s="341" customFormat="1">
      <c r="A22" s="335"/>
      <c r="B22" s="336"/>
      <c r="C22" s="336"/>
      <c r="D22" s="337"/>
      <c r="E22" s="337"/>
      <c r="F22" s="338"/>
      <c r="G22" s="367">
        <f>IF(ISBLANK(#REF!),0,IFERROR(VLOOKUP(B22,IntialEstWeightedValues!$A$6:$G$17,IF(E22="Small",IF(D22="New",2,3),IF(E22="Medium",IF(D22="New",4,5),IF(E22="Large",IF(D22="New",6,7)))),FALSE),0)) * IF(ISBLANK(F22),0,F22)</f>
        <v>0</v>
      </c>
    </row>
    <row r="23" spans="1:15" s="341" customFormat="1">
      <c r="A23" s="339"/>
      <c r="B23" s="340"/>
      <c r="C23" s="340"/>
      <c r="D23" s="340"/>
      <c r="E23" s="340"/>
      <c r="F23" s="340"/>
      <c r="G23" s="368">
        <f>SUM(G2:G22)</f>
        <v>631.79250000000002</v>
      </c>
    </row>
    <row r="26" spans="1:15" ht="15.6">
      <c r="F26" s="239" t="s">
        <v>257</v>
      </c>
      <c r="H26" s="238" t="s">
        <v>196</v>
      </c>
      <c r="I26" s="238" t="s">
        <v>191</v>
      </c>
    </row>
    <row r="27" spans="1:15">
      <c r="F27" s="274" t="s">
        <v>255</v>
      </c>
      <c r="G27" s="361">
        <f>G23</f>
        <v>631.79250000000002</v>
      </c>
      <c r="H27" s="275">
        <v>0</v>
      </c>
      <c r="I27" s="279">
        <f>(G27+H27)</f>
        <v>631.79250000000002</v>
      </c>
    </row>
    <row r="28" spans="1:15" ht="79.2">
      <c r="A28" s="53"/>
      <c r="B28" s="104"/>
      <c r="C28" s="104"/>
      <c r="D28" s="104"/>
      <c r="E28" s="104"/>
      <c r="F28" s="274" t="s">
        <v>280</v>
      </c>
      <c r="G28" s="313">
        <f>ROUNDUP((I27+I30)*(IntialEstWeightedValues!B20/100),2)</f>
        <v>61.269999999999996</v>
      </c>
      <c r="H28" s="275">
        <v>0</v>
      </c>
      <c r="I28" s="279">
        <f t="shared" ref="I28:I33" si="0">(G28+H28)</f>
        <v>61.269999999999996</v>
      </c>
    </row>
    <row r="29" spans="1:15" ht="72" customHeight="1">
      <c r="A29" s="53"/>
      <c r="B29" s="104"/>
      <c r="C29" s="104"/>
      <c r="D29" s="104"/>
      <c r="E29" s="104"/>
      <c r="F29" s="274" t="s">
        <v>220</v>
      </c>
      <c r="G29" s="313">
        <f>ROUNDUP((I27+I30)*(IntialEstWeightedValues!B21/100),2)</f>
        <v>183.81</v>
      </c>
      <c r="H29" s="275">
        <v>0</v>
      </c>
      <c r="I29" s="279">
        <f t="shared" si="0"/>
        <v>183.81</v>
      </c>
      <c r="J29" s="240" t="s">
        <v>197</v>
      </c>
      <c r="K29" s="240" t="s">
        <v>62</v>
      </c>
      <c r="L29" s="240" t="s">
        <v>131</v>
      </c>
      <c r="M29" s="240" t="s">
        <v>64</v>
      </c>
      <c r="N29" s="240" t="s">
        <v>72</v>
      </c>
      <c r="O29" s="240" t="s">
        <v>198</v>
      </c>
    </row>
    <row r="30" spans="1:15" ht="144.75" customHeight="1">
      <c r="A30" s="53"/>
      <c r="B30" s="104"/>
      <c r="C30" s="104"/>
      <c r="D30" s="104"/>
      <c r="E30" s="104"/>
      <c r="F30" s="274" t="s">
        <v>221</v>
      </c>
      <c r="G30" s="313">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237.78</v>
      </c>
      <c r="H30" s="275">
        <v>355.81</v>
      </c>
      <c r="I30" s="279">
        <f>(G30+H30)</f>
        <v>593.59</v>
      </c>
      <c r="J30" s="276" t="s">
        <v>380</v>
      </c>
      <c r="K30" s="277"/>
      <c r="L30" s="277"/>
      <c r="M30" s="277">
        <v>25</v>
      </c>
      <c r="N30" s="277"/>
      <c r="O30" s="277">
        <v>1</v>
      </c>
    </row>
    <row r="31" spans="1:15" ht="65.25" customHeight="1">
      <c r="A31" s="53"/>
      <c r="B31" s="104"/>
      <c r="C31" s="104"/>
      <c r="D31" s="104"/>
      <c r="E31" s="104"/>
      <c r="F31" s="274" t="s">
        <v>222</v>
      </c>
      <c r="G31" s="313">
        <f>ROUNDUP((I27)*(IntialEstWeightedValues!B23/100),2)</f>
        <v>31.59</v>
      </c>
      <c r="H31" s="275">
        <v>0</v>
      </c>
      <c r="I31" s="279">
        <f t="shared" si="0"/>
        <v>31.59</v>
      </c>
    </row>
    <row r="32" spans="1:15" ht="71.400000000000006" customHeight="1">
      <c r="A32" s="53"/>
      <c r="B32" s="104"/>
      <c r="C32" s="104"/>
      <c r="D32" s="104"/>
      <c r="E32" s="104"/>
      <c r="F32" s="274" t="s">
        <v>223</v>
      </c>
      <c r="G32" s="313">
        <f>ROUNDUP(I30*(IntialEstWeightedValues!B24/100),2)</f>
        <v>118.72</v>
      </c>
      <c r="H32" s="275">
        <v>0</v>
      </c>
      <c r="I32" s="279">
        <f t="shared" si="0"/>
        <v>118.72</v>
      </c>
      <c r="J32" s="241" t="s">
        <v>199</v>
      </c>
    </row>
    <row r="33" spans="1:13" ht="132">
      <c r="A33" s="53"/>
      <c r="B33" s="104"/>
      <c r="C33" s="104"/>
      <c r="D33" s="104"/>
      <c r="E33" s="104"/>
      <c r="F33" s="274" t="s">
        <v>224</v>
      </c>
      <c r="G33" s="313">
        <f>ROUNDUP((I27+I28+I29+I30+I31+I32)*(J33/100),2)</f>
        <v>162.07999999999998</v>
      </c>
      <c r="H33" s="275">
        <v>0</v>
      </c>
      <c r="I33" s="279">
        <f t="shared" si="0"/>
        <v>162.07999999999998</v>
      </c>
      <c r="J33" s="277">
        <v>10</v>
      </c>
    </row>
    <row r="34" spans="1:13" ht="55.5" customHeight="1">
      <c r="A34" s="53"/>
      <c r="B34" s="104"/>
      <c r="C34" s="104"/>
      <c r="D34" s="104"/>
      <c r="E34" s="104"/>
      <c r="F34" s="404"/>
      <c r="G34" s="404"/>
      <c r="H34" s="404"/>
      <c r="I34" s="404"/>
      <c r="J34" s="240" t="s">
        <v>200</v>
      </c>
      <c r="K34" s="240" t="s">
        <v>201</v>
      </c>
      <c r="L34" s="240" t="s">
        <v>202</v>
      </c>
      <c r="M34" s="240" t="s">
        <v>203</v>
      </c>
    </row>
    <row r="35" spans="1:13" ht="168" customHeight="1">
      <c r="A35" s="53"/>
      <c r="B35" s="104"/>
      <c r="C35" s="104"/>
      <c r="D35" s="104"/>
      <c r="E35" s="104"/>
      <c r="F35" s="274" t="s">
        <v>341</v>
      </c>
      <c r="G35" s="313">
        <f>ROUNDUP((J35 * L35 * (K35/60)) + (J35 * L35 * (M35/60)),2)</f>
        <v>81</v>
      </c>
      <c r="H35" s="275">
        <v>0</v>
      </c>
      <c r="I35" s="279">
        <f t="shared" ref="I35:I37" si="1">(G35+H35)</f>
        <v>81</v>
      </c>
      <c r="J35" s="277">
        <v>9</v>
      </c>
      <c r="K35" s="277">
        <v>60</v>
      </c>
      <c r="L35" s="277">
        <v>6</v>
      </c>
      <c r="M35" s="277">
        <v>30</v>
      </c>
    </row>
    <row r="36" spans="1:13" ht="162" customHeight="1">
      <c r="A36" s="53"/>
      <c r="B36" s="104"/>
      <c r="C36" s="104"/>
      <c r="D36" s="104"/>
      <c r="E36" s="104"/>
      <c r="F36" s="274" t="s">
        <v>225</v>
      </c>
      <c r="G36" s="313">
        <f>ROUNDUP((J36 * L36 * (K36/60)) + (J36 * L36 * (M36/60)),2)</f>
        <v>30</v>
      </c>
      <c r="H36" s="275">
        <v>0</v>
      </c>
      <c r="I36" s="279">
        <f t="shared" si="1"/>
        <v>30</v>
      </c>
      <c r="J36" s="277">
        <v>10</v>
      </c>
      <c r="K36" s="277">
        <v>30</v>
      </c>
      <c r="L36" s="277">
        <v>6</v>
      </c>
      <c r="M36" s="277"/>
    </row>
    <row r="37" spans="1:13">
      <c r="A37" s="53"/>
      <c r="B37" s="104"/>
      <c r="C37" s="104"/>
      <c r="D37" s="104"/>
      <c r="E37" s="104"/>
      <c r="F37" s="274" t="s">
        <v>204</v>
      </c>
      <c r="G37" s="275">
        <v>10</v>
      </c>
      <c r="H37" s="275"/>
      <c r="I37" s="279">
        <f t="shared" si="1"/>
        <v>10</v>
      </c>
    </row>
    <row r="38" spans="1:13" ht="15.6">
      <c r="A38" s="53"/>
      <c r="B38" s="105"/>
      <c r="C38" s="105"/>
      <c r="D38" s="105"/>
      <c r="E38" s="105"/>
      <c r="F38" s="278" t="s">
        <v>21</v>
      </c>
      <c r="G38" s="405"/>
      <c r="H38" s="405"/>
      <c r="I38" s="273">
        <f>ROUNDUP(SUM(I27:I37),2)</f>
        <v>1903.86</v>
      </c>
    </row>
    <row r="39" spans="1:13" ht="15.6">
      <c r="D39" s="105"/>
      <c r="E39" s="105"/>
      <c r="F39" s="278" t="s">
        <v>128</v>
      </c>
      <c r="G39" s="405">
        <f>IFERROR(INDEX({"Small","Medium","Large","X-Large","XL1","XL2","XL3","XL4","XL5","XL6","XL7","XL8"},MATCH(G38,{1,100,300,750,1000,2000,3000,4000,5000,6000,7000,8000},1)),0)</f>
        <v>0</v>
      </c>
      <c r="H39" s="405"/>
      <c r="I39" s="312" t="str">
        <f>IFERROR(INDEX({"Small","Medium","Large","X-Large","XL1","XL2","XL3","XL4","XL5","XL6","XL7","XL8"},MATCH(I38,{1,100,300,750,1000,2000,3000,4000,5000,6000,7000,8000},1)),0)</f>
        <v>XL1</v>
      </c>
    </row>
    <row r="40" spans="1:13" ht="21">
      <c r="A40" s="358" t="s">
        <v>288</v>
      </c>
      <c r="D40" s="105"/>
      <c r="E40" s="105"/>
      <c r="F40" s="105"/>
      <c r="G40" s="105"/>
      <c r="H40" s="105"/>
      <c r="I40" s="105"/>
    </row>
    <row r="41" spans="1:13" ht="17.399999999999999">
      <c r="A41" s="356" t="s">
        <v>273</v>
      </c>
      <c r="B41" s="356" t="s">
        <v>6</v>
      </c>
    </row>
    <row r="42" spans="1:13" ht="15">
      <c r="A42" s="359" t="s">
        <v>274</v>
      </c>
      <c r="B42" s="357">
        <f>ROUNDUP((I28/2)+I29+(I31/2)+I32+(I37/2),2)</f>
        <v>353.96</v>
      </c>
      <c r="D42" s="99"/>
      <c r="E42" s="99"/>
      <c r="F42" s="99"/>
      <c r="G42" s="99"/>
      <c r="H42" s="99"/>
      <c r="I42" s="99"/>
      <c r="J42" s="99"/>
      <c r="L42" s="99"/>
      <c r="M42" s="99"/>
    </row>
    <row r="43" spans="1:13" ht="15">
      <c r="A43" s="359" t="s">
        <v>275</v>
      </c>
      <c r="B43" s="357">
        <f>ROUNDUP(I27+(I28/2)+(I31/2)+(I37/2),2)</f>
        <v>683.23</v>
      </c>
      <c r="C43" s="99"/>
      <c r="D43" s="99"/>
      <c r="E43" s="99"/>
      <c r="F43" s="99"/>
      <c r="G43" s="99"/>
      <c r="H43" s="99"/>
      <c r="I43" s="99"/>
      <c r="J43" s="99"/>
      <c r="K43" s="99"/>
      <c r="L43" s="99"/>
      <c r="M43" s="99"/>
    </row>
    <row r="44" spans="1:13" ht="15">
      <c r="A44" s="359" t="s">
        <v>295</v>
      </c>
      <c r="B44" s="357">
        <f>I30</f>
        <v>593.59</v>
      </c>
      <c r="C44" s="99"/>
      <c r="D44" s="99"/>
      <c r="E44" s="99"/>
      <c r="F44" s="99"/>
      <c r="G44" s="99"/>
      <c r="H44" s="99"/>
      <c r="I44" s="99"/>
      <c r="J44" s="99"/>
      <c r="K44" s="99"/>
      <c r="L44" s="99"/>
      <c r="M44" s="99"/>
    </row>
    <row r="45" spans="1:13" ht="15">
      <c r="A45" s="359" t="s">
        <v>271</v>
      </c>
      <c r="B45" s="357">
        <f>I33</f>
        <v>162.07999999999998</v>
      </c>
      <c r="C45" s="99"/>
      <c r="D45" s="99"/>
      <c r="E45" s="99"/>
      <c r="F45" s="99"/>
      <c r="G45" s="99"/>
      <c r="H45" s="99"/>
      <c r="I45" s="99"/>
      <c r="J45" s="99"/>
      <c r="K45" s="99"/>
      <c r="L45" s="99"/>
      <c r="M45" s="99"/>
    </row>
    <row r="46" spans="1:13" ht="15">
      <c r="A46" s="359" t="s">
        <v>272</v>
      </c>
      <c r="B46" s="357">
        <f>I35+I36</f>
        <v>111</v>
      </c>
      <c r="C46" s="99"/>
      <c r="D46" s="99"/>
      <c r="E46" s="99"/>
      <c r="F46" s="99"/>
      <c r="G46" s="99"/>
      <c r="H46" s="99"/>
      <c r="I46" s="99"/>
      <c r="J46" s="99"/>
      <c r="K46" s="99"/>
      <c r="L46" s="99"/>
      <c r="M46" s="99"/>
    </row>
    <row r="47" spans="1:13">
      <c r="A47" s="53"/>
      <c r="B47" s="99"/>
      <c r="C47" s="99"/>
      <c r="D47" s="99"/>
      <c r="E47" s="99"/>
      <c r="F47" s="99"/>
      <c r="G47" s="99"/>
      <c r="H47" s="99"/>
      <c r="I47" s="99"/>
      <c r="J47" s="99"/>
      <c r="K47" s="99"/>
      <c r="L47" s="99"/>
      <c r="M47" s="99"/>
    </row>
    <row r="48" spans="1:13" ht="44.4" customHeight="1">
      <c r="A48" s="53" t="s">
        <v>30</v>
      </c>
      <c r="B48" s="406" t="s">
        <v>403</v>
      </c>
      <c r="C48" s="407"/>
      <c r="D48" s="99"/>
      <c r="E48" s="99"/>
      <c r="F48" s="99"/>
      <c r="G48" s="99"/>
      <c r="H48" s="99"/>
      <c r="I48" s="99"/>
      <c r="J48" s="99"/>
      <c r="K48" s="99"/>
      <c r="L48" s="99"/>
      <c r="M48" s="99"/>
    </row>
    <row r="49" spans="1:13">
      <c r="A49" s="53"/>
      <c r="B49" s="99"/>
      <c r="C49" s="99"/>
      <c r="D49" s="99"/>
      <c r="E49" s="99"/>
      <c r="F49" s="99"/>
      <c r="G49" s="99"/>
      <c r="H49" s="99"/>
      <c r="I49" s="99"/>
      <c r="J49" s="99"/>
      <c r="K49" s="99"/>
      <c r="L49" s="99"/>
      <c r="M49" s="99"/>
    </row>
    <row r="50" spans="1:13">
      <c r="A50" s="53"/>
      <c r="B50" s="105"/>
      <c r="C50" s="105"/>
      <c r="D50" s="105"/>
      <c r="E50" s="105"/>
      <c r="F50" s="105"/>
      <c r="G50" s="105"/>
      <c r="H50" s="105"/>
      <c r="I50" s="105"/>
      <c r="J50" s="105"/>
      <c r="K50" s="105"/>
      <c r="L50" s="105"/>
      <c r="M50" s="105"/>
    </row>
    <row r="51" spans="1:13" ht="26.4">
      <c r="A51" s="106" t="s">
        <v>205</v>
      </c>
      <c r="B51" s="408" t="s">
        <v>386</v>
      </c>
      <c r="C51" s="409"/>
      <c r="D51" s="409"/>
      <c r="E51" s="409"/>
      <c r="F51" s="409"/>
      <c r="G51" s="410"/>
      <c r="H51" s="242"/>
      <c r="I51" s="242"/>
    </row>
    <row r="52" spans="1:13">
      <c r="A52" s="53"/>
      <c r="B52" s="411"/>
      <c r="C52" s="412"/>
      <c r="D52" s="412"/>
      <c r="E52" s="412"/>
      <c r="F52" s="412"/>
      <c r="G52" s="413"/>
      <c r="H52" s="242"/>
      <c r="I52" s="242"/>
    </row>
    <row r="53" spans="1:13">
      <c r="A53" s="53"/>
      <c r="B53" s="411"/>
      <c r="C53" s="412"/>
      <c r="D53" s="412"/>
      <c r="E53" s="412"/>
      <c r="F53" s="412"/>
      <c r="G53" s="413"/>
      <c r="H53" s="242"/>
      <c r="I53" s="242"/>
    </row>
    <row r="54" spans="1:13">
      <c r="A54" s="53"/>
      <c r="B54" s="411"/>
      <c r="C54" s="412"/>
      <c r="D54" s="412"/>
      <c r="E54" s="412"/>
      <c r="F54" s="412"/>
      <c r="G54" s="413"/>
      <c r="H54" s="242"/>
      <c r="I54" s="242"/>
    </row>
    <row r="55" spans="1:13">
      <c r="A55" s="53"/>
      <c r="B55" s="414"/>
      <c r="C55" s="415"/>
      <c r="D55" s="415"/>
      <c r="E55" s="415"/>
      <c r="F55" s="415"/>
      <c r="G55" s="416"/>
      <c r="H55" s="242"/>
      <c r="I55" s="242"/>
    </row>
    <row r="56" spans="1:13" ht="14.4" thickBot="1">
      <c r="A56" s="53"/>
    </row>
    <row r="57" spans="1:13" ht="14.4" thickBot="1">
      <c r="A57" s="53" t="s">
        <v>129</v>
      </c>
      <c r="B57" s="107" t="s">
        <v>130</v>
      </c>
      <c r="C57" s="108" t="s">
        <v>140</v>
      </c>
      <c r="D57" s="109" t="s">
        <v>141</v>
      </c>
    </row>
    <row r="58" spans="1:13">
      <c r="A58" s="53"/>
      <c r="B58" s="110" t="s">
        <v>1</v>
      </c>
      <c r="C58" s="111">
        <v>1</v>
      </c>
      <c r="D58" s="112">
        <v>99</v>
      </c>
    </row>
    <row r="59" spans="1:13">
      <c r="A59" s="53"/>
      <c r="B59" s="113" t="s">
        <v>131</v>
      </c>
      <c r="C59" s="114">
        <v>100</v>
      </c>
      <c r="D59" s="115">
        <v>299</v>
      </c>
    </row>
    <row r="60" spans="1:13">
      <c r="A60" s="53"/>
      <c r="B60" s="113" t="s">
        <v>2</v>
      </c>
      <c r="C60" s="114">
        <v>300</v>
      </c>
      <c r="D60" s="115">
        <v>749</v>
      </c>
    </row>
    <row r="61" spans="1:13">
      <c r="A61" s="53"/>
      <c r="B61" s="113" t="s">
        <v>132</v>
      </c>
      <c r="C61" s="114">
        <v>750</v>
      </c>
      <c r="D61" s="115">
        <v>999</v>
      </c>
    </row>
    <row r="62" spans="1:13">
      <c r="A62" s="53"/>
      <c r="B62" s="113" t="s">
        <v>133</v>
      </c>
      <c r="C62" s="114">
        <v>1000</v>
      </c>
      <c r="D62" s="115">
        <v>1999</v>
      </c>
    </row>
    <row r="63" spans="1:13">
      <c r="A63" s="53"/>
      <c r="B63" s="113" t="s">
        <v>134</v>
      </c>
      <c r="C63" s="114">
        <v>2000</v>
      </c>
      <c r="D63" s="115">
        <v>2999</v>
      </c>
    </row>
    <row r="64" spans="1:13">
      <c r="A64" s="53"/>
      <c r="B64" s="113" t="s">
        <v>135</v>
      </c>
      <c r="C64" s="114">
        <v>3000</v>
      </c>
      <c r="D64" s="115">
        <v>3999</v>
      </c>
    </row>
    <row r="65" spans="1:4">
      <c r="A65" s="53"/>
      <c r="B65" s="113" t="s">
        <v>136</v>
      </c>
      <c r="C65" s="114">
        <v>4000</v>
      </c>
      <c r="D65" s="116">
        <v>4999</v>
      </c>
    </row>
    <row r="66" spans="1:4">
      <c r="A66" s="53"/>
      <c r="B66" s="113" t="s">
        <v>137</v>
      </c>
      <c r="C66" s="114">
        <v>5000</v>
      </c>
      <c r="D66" s="116">
        <v>5999</v>
      </c>
    </row>
    <row r="67" spans="1:4">
      <c r="A67" s="53"/>
      <c r="B67" s="113" t="s">
        <v>138</v>
      </c>
      <c r="C67" s="114">
        <v>6000</v>
      </c>
      <c r="D67" s="116">
        <v>6999</v>
      </c>
    </row>
    <row r="68" spans="1:4">
      <c r="A68" s="53"/>
      <c r="B68" s="113" t="s">
        <v>139</v>
      </c>
      <c r="C68" s="114">
        <v>7000</v>
      </c>
      <c r="D68" s="116">
        <v>7999</v>
      </c>
    </row>
    <row r="69" spans="1:4" ht="14.4" thickBot="1">
      <c r="A69" s="53"/>
      <c r="B69" s="398" t="s">
        <v>206</v>
      </c>
      <c r="C69" s="399"/>
      <c r="D69" s="400"/>
    </row>
  </sheetData>
  <sheetProtection formatCells="0" formatColumns="0" formatRows="0" insertRows="0" deleteRows="0" selectLockedCells="1"/>
  <protectedRanges>
    <protectedRange sqref="G1:G12 G56:G1048576 G14:G50" name="Range5"/>
    <protectedRange sqref="G28:I29 F30:G30 G31:I33 F34:I34 B28:E37 G35:I37 I30" name="Range2"/>
    <protectedRange sqref="B43:C47 B49:C49" name="Range3"/>
    <protectedRange sqref="H51:I55" name="Range4"/>
    <protectedRange sqref="K30:O30" name="Range2_2"/>
    <protectedRange sqref="H30" name="Range2_1"/>
    <protectedRange sqref="G51:G55" name="Range5_1"/>
    <protectedRange sqref="B51:G55" name="Range4_1"/>
    <protectedRange sqref="B48:C48" name="Range3_1"/>
    <protectedRange sqref="G13" name="Range5_3"/>
  </protectedRanges>
  <sortState xmlns:xlrd2="http://schemas.microsoft.com/office/spreadsheetml/2017/richdata2" ref="A7:O15">
    <sortCondition ref="A7:A15"/>
  </sortState>
  <mergeCells count="9">
    <mergeCell ref="B2:F2"/>
    <mergeCell ref="B69:D69"/>
    <mergeCell ref="A3:E3"/>
    <mergeCell ref="F3:G3"/>
    <mergeCell ref="F34:I34"/>
    <mergeCell ref="G38:H38"/>
    <mergeCell ref="G39:H39"/>
    <mergeCell ref="B48:C48"/>
    <mergeCell ref="B51:G55"/>
  </mergeCells>
  <conditionalFormatting sqref="G39">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8">
    <dataValidation type="list" allowBlank="1" showInputMessage="1" showErrorMessage="1" sqref="K35:K37" xr:uid="{00000000-0002-0000-0000-000000000000}">
      <formula1>"15, 30, 45, 60"</formula1>
    </dataValidation>
    <dataValidation type="list" allowBlank="1" showInputMessage="1" showErrorMessage="1" sqref="J35:J37" xr:uid="{00000000-0002-0000-0000-000001000000}">
      <formula1>"0,1,2,3,4,5,6,7,8,9,10,11,12,13,14,15,16,17,18,19,20"</formula1>
    </dataValidation>
    <dataValidation type="list" allowBlank="1" showInputMessage="1" showErrorMessage="1" sqref="J30" xr:uid="{00000000-0002-0000-0000-000002000000}">
      <formula1>"YES, NO"</formula1>
    </dataValidation>
    <dataValidation type="list" allowBlank="1" showInputMessage="1" showErrorMessage="1" sqref="M37" xr:uid="{00000000-0002-0000-0000-000003000000}">
      <formula1>"10,20,30,40,50,60,70,80,90,100,110,120,130,140,150,160,170,180"</formula1>
    </dataValidation>
    <dataValidation type="list" allowBlank="1" showInputMessage="1" showErrorMessage="1" sqref="J33 L35:L37" xr:uid="{00000000-0002-0000-0000-000004000000}">
      <formula1>"1,2,3,4,5,6,7,8,9,10,11,12,13,14,15,16,17,18,19,20"</formula1>
    </dataValidation>
    <dataValidation type="list" allowBlank="1" showInputMessage="1" showErrorMessage="1" sqref="M35:M36" xr:uid="{00000000-0002-0000-0000-000005000000}">
      <formula1>"15,30,45,60,75,90,105,120,135,150,165,180"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s>
  <pageMargins left="0.25" right="0.25" top="0.75" bottom="0.75" header="0.3" footer="0.3"/>
  <pageSetup paperSize="5" scale="65"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30480</xdr:colOff>
                    <xdr:row>22</xdr:row>
                    <xdr:rowOff>30480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B7:B12 B14:B22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4"/>
  <sheetViews>
    <sheetView showRuler="0" zoomScale="90" zoomScaleNormal="90" zoomScalePageLayoutView="107" workbookViewId="0">
      <selection activeCell="B5" sqref="B5:F5"/>
    </sheetView>
  </sheetViews>
  <sheetFormatPr defaultColWidth="8.44140625" defaultRowHeight="13.2" outlineLevelRow="2"/>
  <cols>
    <col min="1" max="1" width="78" style="117" bestFit="1" customWidth="1"/>
    <col min="2" max="2" width="16.44140625" style="117" bestFit="1" customWidth="1"/>
    <col min="3" max="3" width="16.44140625" style="117" customWidth="1"/>
    <col min="4" max="4" width="20.44140625" style="117" customWidth="1"/>
    <col min="5" max="5" width="17.44140625" style="117" customWidth="1"/>
    <col min="6" max="6" width="16" style="117" bestFit="1" customWidth="1"/>
    <col min="7" max="7" width="10.44140625" style="118" customWidth="1"/>
    <col min="8" max="16384" width="8.44140625" style="117"/>
  </cols>
  <sheetData>
    <row r="1" spans="1:16">
      <c r="A1" s="35" t="str">
        <f>InitialEstimate!A1</f>
        <v>Template Version:</v>
      </c>
      <c r="B1" s="311">
        <f>InitialEstimate!B1</f>
        <v>2.8</v>
      </c>
    </row>
    <row r="2" spans="1:16" ht="49.65" customHeight="1">
      <c r="A2" s="184" t="s">
        <v>20</v>
      </c>
      <c r="B2" s="397" t="s">
        <v>248</v>
      </c>
      <c r="C2" s="397"/>
      <c r="D2" s="397"/>
      <c r="E2" s="397"/>
      <c r="F2" s="397"/>
      <c r="G2" s="38"/>
      <c r="H2" s="37"/>
    </row>
    <row r="3" spans="1:16" s="120" customFormat="1" ht="39.15" customHeight="1">
      <c r="A3" s="220" t="s">
        <v>106</v>
      </c>
      <c r="B3" s="220"/>
      <c r="C3" s="220"/>
      <c r="D3" s="303"/>
      <c r="E3" s="220" t="s">
        <v>6</v>
      </c>
      <c r="F3" s="220"/>
      <c r="G3" s="119"/>
    </row>
    <row r="4" spans="1:16" s="41" customFormat="1" ht="26.4" customHeight="1">
      <c r="A4" s="220" t="s">
        <v>22</v>
      </c>
      <c r="B4" s="304" t="str">
        <f>InitialEstimate!F3</f>
        <v>23810 002</v>
      </c>
      <c r="C4" s="117"/>
      <c r="D4" s="117"/>
      <c r="E4" s="117"/>
      <c r="G4" s="39"/>
      <c r="H4" s="40"/>
      <c r="I4" s="40"/>
      <c r="J4" s="40"/>
      <c r="N4" s="42"/>
      <c r="O4" s="42"/>
      <c r="P4" s="122"/>
    </row>
    <row r="5" spans="1:16" s="149" customFormat="1" ht="46.8">
      <c r="A5" s="232" t="s">
        <v>250</v>
      </c>
      <c r="C5" s="150"/>
      <c r="E5" s="323">
        <v>519</v>
      </c>
      <c r="F5" s="395">
        <v>45954</v>
      </c>
      <c r="G5" s="151"/>
      <c r="H5" s="152"/>
      <c r="I5" s="152"/>
      <c r="J5" s="152"/>
      <c r="N5" s="153"/>
      <c r="O5" s="153"/>
      <c r="P5" s="154"/>
    </row>
    <row r="6" spans="1:16" s="149" customFormat="1" ht="21">
      <c r="A6" s="234" t="s">
        <v>105</v>
      </c>
      <c r="B6" s="148"/>
      <c r="C6" s="86"/>
      <c r="E6" s="155">
        <f>E45</f>
        <v>515</v>
      </c>
      <c r="F6" s="86"/>
      <c r="G6" s="151"/>
      <c r="H6" s="152"/>
      <c r="I6" s="152"/>
      <c r="J6" s="152"/>
      <c r="N6" s="153"/>
      <c r="O6" s="153"/>
      <c r="P6" s="154"/>
    </row>
    <row r="7" spans="1:16" s="149" customFormat="1" ht="21">
      <c r="A7" s="234" t="s">
        <v>104</v>
      </c>
      <c r="B7" s="148"/>
      <c r="C7" s="86"/>
      <c r="E7" s="155">
        <f>E78</f>
        <v>497.5</v>
      </c>
      <c r="F7" s="86"/>
      <c r="G7" s="151"/>
      <c r="H7" s="152"/>
      <c r="I7" s="152"/>
      <c r="J7" s="152"/>
      <c r="N7" s="153"/>
      <c r="O7" s="153"/>
      <c r="P7" s="154"/>
    </row>
    <row r="8" spans="1:16" s="149" customFormat="1" ht="21">
      <c r="A8" s="234" t="s">
        <v>125</v>
      </c>
      <c r="B8" s="148"/>
      <c r="C8" s="86"/>
      <c r="E8" s="314">
        <f>E123</f>
        <v>353.9</v>
      </c>
      <c r="F8" s="86"/>
      <c r="G8" s="151"/>
      <c r="H8" s="152"/>
      <c r="I8" s="152"/>
      <c r="J8" s="152"/>
      <c r="N8" s="153"/>
      <c r="O8" s="153"/>
      <c r="P8" s="154"/>
    </row>
    <row r="9" spans="1:16" s="149" customFormat="1" ht="47.4" thickBot="1">
      <c r="A9" s="235" t="s">
        <v>233</v>
      </c>
      <c r="B9" s="148"/>
      <c r="C9" s="86"/>
      <c r="E9" s="155">
        <f>SUM(E5:E8)*0.05</f>
        <v>94.27000000000001</v>
      </c>
      <c r="F9" s="86"/>
      <c r="G9" s="151"/>
      <c r="H9" s="152"/>
      <c r="I9" s="152"/>
      <c r="J9" s="152"/>
      <c r="N9" s="153"/>
      <c r="O9" s="153"/>
      <c r="P9" s="154"/>
    </row>
    <row r="10" spans="1:16" s="149" customFormat="1" ht="41.25" customHeight="1" thickBot="1">
      <c r="A10" s="233" t="s">
        <v>246</v>
      </c>
      <c r="B10" s="148"/>
      <c r="C10" s="86"/>
      <c r="D10" s="86"/>
      <c r="E10" s="236">
        <f>SUM(E5:E9)</f>
        <v>1979.67</v>
      </c>
      <c r="F10" s="248">
        <f>ROUNDUP(E10,-1)</f>
        <v>1980</v>
      </c>
      <c r="H10" s="152"/>
      <c r="I10" s="152"/>
      <c r="J10" s="152"/>
      <c r="N10" s="153"/>
      <c r="O10" s="153"/>
      <c r="P10" s="154"/>
    </row>
    <row r="11" spans="1:16" s="41" customFormat="1" ht="21">
      <c r="B11" s="123"/>
      <c r="C11" s="117"/>
      <c r="D11" s="117"/>
      <c r="E11" s="123"/>
      <c r="F11" s="124"/>
      <c r="G11" s="39"/>
      <c r="H11" s="40"/>
      <c r="I11" s="40"/>
      <c r="J11" s="40"/>
      <c r="N11" s="42"/>
      <c r="O11" s="42"/>
      <c r="P11" s="122"/>
    </row>
    <row r="12" spans="1:16" s="41" customFormat="1" ht="21.15" customHeight="1">
      <c r="A12" s="268" t="s">
        <v>36</v>
      </c>
      <c r="B12" s="419" t="str">
        <f>CONCATENATE("SE Assumptions:  ",'Dtl SE_ModuleDoco'!C93,";
BA Assumptions:  ",'Dtl BA_Considerations'!C65,";     
Collaboration_Quality Assumptions:   ",'Dtl Collaboration_Quality'!C36)</f>
        <v xml:space="preserve">SE Assumptions:  Nothing is being promoted for FADS
Dev, MO, E2E, UAT, PROD - 1 hour for Fraud Capture(no code to be promoted, just DB changes) 5 hrs for Claims
ERWIN changes have been included under BA Considerations
Row 83 - quote need to be updated.;
BA Assumptions:  Line 62 - System documentation - 4 hours for FC, 6 hours for Claims, 2 hours ERWIN Changes
Fraud capture items are located in proficient section
Claims items are located in beginner section
;     
Collaboration_Quality Assumptions:   Row 20- 30 meetings are 30 mins each </v>
      </c>
      <c r="C12" s="420"/>
      <c r="D12" s="420"/>
      <c r="E12" s="420"/>
      <c r="F12" s="420"/>
      <c r="G12" s="39"/>
      <c r="H12" s="40"/>
      <c r="I12" s="40"/>
      <c r="J12" s="40"/>
      <c r="N12" s="42"/>
      <c r="O12" s="42"/>
      <c r="P12" s="122"/>
    </row>
    <row r="13" spans="1:16" s="41" customFormat="1" ht="15.6">
      <c r="A13" s="44"/>
      <c r="B13" s="421"/>
      <c r="C13" s="422"/>
      <c r="D13" s="422"/>
      <c r="E13" s="422"/>
      <c r="F13" s="422"/>
      <c r="G13" s="39"/>
      <c r="H13" s="40"/>
      <c r="I13" s="40"/>
      <c r="J13" s="40"/>
      <c r="N13" s="42"/>
      <c r="O13" s="42"/>
      <c r="P13" s="122"/>
    </row>
    <row r="14" spans="1:16" s="41" customFormat="1" ht="15.6">
      <c r="A14" s="44"/>
      <c r="B14" s="421"/>
      <c r="C14" s="422"/>
      <c r="D14" s="422"/>
      <c r="E14" s="422"/>
      <c r="F14" s="422"/>
      <c r="G14" s="39"/>
      <c r="H14" s="40"/>
      <c r="I14" s="40"/>
      <c r="J14" s="40"/>
      <c r="N14" s="42"/>
      <c r="O14" s="42"/>
      <c r="P14" s="122"/>
    </row>
    <row r="15" spans="1:16" s="41" customFormat="1" ht="15.6">
      <c r="A15" s="44"/>
      <c r="B15" s="421"/>
      <c r="C15" s="422"/>
      <c r="D15" s="422"/>
      <c r="E15" s="422"/>
      <c r="F15" s="422"/>
      <c r="G15" s="39"/>
      <c r="H15" s="40"/>
      <c r="I15" s="40"/>
      <c r="J15" s="40"/>
      <c r="N15" s="42"/>
      <c r="O15" s="42"/>
      <c r="P15" s="122"/>
    </row>
    <row r="16" spans="1:16" s="41" customFormat="1" ht="15.6">
      <c r="A16" s="44"/>
      <c r="B16" s="421"/>
      <c r="C16" s="422"/>
      <c r="D16" s="422"/>
      <c r="E16" s="422"/>
      <c r="F16" s="422"/>
      <c r="G16" s="39"/>
      <c r="H16" s="40"/>
      <c r="I16" s="40"/>
      <c r="J16" s="40"/>
      <c r="N16" s="42"/>
      <c r="O16" s="42"/>
      <c r="P16" s="122"/>
    </row>
    <row r="17" spans="1:16" s="41" customFormat="1" ht="15.6">
      <c r="A17" s="44"/>
      <c r="B17" s="421"/>
      <c r="C17" s="422"/>
      <c r="D17" s="422"/>
      <c r="E17" s="422"/>
      <c r="F17" s="422"/>
      <c r="G17" s="39"/>
      <c r="H17" s="40"/>
      <c r="I17" s="40"/>
      <c r="J17" s="40"/>
      <c r="N17" s="42"/>
      <c r="O17" s="42"/>
      <c r="P17" s="122"/>
    </row>
    <row r="18" spans="1:16" s="41" customFormat="1" ht="15.6">
      <c r="A18" s="44"/>
      <c r="B18" s="421"/>
      <c r="C18" s="422"/>
      <c r="D18" s="422"/>
      <c r="E18" s="422"/>
      <c r="F18" s="422"/>
      <c r="G18" s="39"/>
      <c r="H18" s="40"/>
      <c r="I18" s="40"/>
      <c r="J18" s="40"/>
      <c r="N18" s="42"/>
      <c r="O18" s="42"/>
      <c r="P18" s="122"/>
    </row>
    <row r="19" spans="1:16" s="41" customFormat="1" ht="28.5" customHeight="1">
      <c r="A19" s="44"/>
      <c r="B19" s="421"/>
      <c r="C19" s="422"/>
      <c r="D19" s="422"/>
      <c r="E19" s="422"/>
      <c r="F19" s="422"/>
      <c r="G19" s="39"/>
      <c r="H19" s="40"/>
      <c r="I19" s="40"/>
      <c r="J19" s="40"/>
      <c r="N19" s="42"/>
      <c r="O19" s="42"/>
      <c r="P19" s="122"/>
    </row>
    <row r="20" spans="1:16" s="41" customFormat="1" ht="15.6">
      <c r="A20" s="44"/>
      <c r="B20" s="421"/>
      <c r="C20" s="422"/>
      <c r="D20" s="422"/>
      <c r="E20" s="422"/>
      <c r="F20" s="422"/>
      <c r="G20" s="39"/>
      <c r="H20" s="40"/>
      <c r="I20" s="40"/>
      <c r="J20" s="40"/>
      <c r="N20" s="42"/>
      <c r="O20" s="42"/>
      <c r="P20" s="122"/>
    </row>
    <row r="21" spans="1:16" s="41" customFormat="1" ht="15.6">
      <c r="A21" s="44"/>
      <c r="B21" s="421"/>
      <c r="C21" s="422"/>
      <c r="D21" s="422"/>
      <c r="E21" s="422"/>
      <c r="F21" s="422"/>
      <c r="G21" s="39"/>
      <c r="H21" s="40"/>
      <c r="I21" s="40"/>
      <c r="J21" s="40"/>
      <c r="N21" s="42"/>
      <c r="O21" s="42"/>
      <c r="P21" s="122"/>
    </row>
    <row r="22" spans="1:16" s="41" customFormat="1" ht="15.6">
      <c r="A22" s="44"/>
      <c r="B22" s="421"/>
      <c r="C22" s="422"/>
      <c r="D22" s="422"/>
      <c r="E22" s="422"/>
      <c r="F22" s="422"/>
      <c r="G22" s="39"/>
      <c r="H22" s="40"/>
      <c r="I22" s="40"/>
      <c r="J22" s="40"/>
      <c r="N22" s="42"/>
      <c r="O22" s="42"/>
      <c r="P22" s="122"/>
    </row>
    <row r="23" spans="1:16" s="41" customFormat="1" ht="15.6">
      <c r="A23" s="44"/>
      <c r="B23" s="423"/>
      <c r="C23" s="424"/>
      <c r="D23" s="424"/>
      <c r="E23" s="424"/>
      <c r="F23" s="424"/>
      <c r="G23" s="39"/>
      <c r="H23" s="40"/>
      <c r="I23" s="40"/>
      <c r="J23" s="40"/>
      <c r="N23" s="42"/>
      <c r="O23" s="42"/>
      <c r="P23" s="122"/>
    </row>
    <row r="24" spans="1:16" s="41" customFormat="1" ht="15.6">
      <c r="A24" s="44"/>
      <c r="B24" s="125"/>
      <c r="C24" s="126"/>
      <c r="D24" s="126"/>
      <c r="E24" s="125"/>
      <c r="F24" s="126"/>
      <c r="G24" s="39"/>
      <c r="H24" s="40"/>
      <c r="I24" s="40"/>
      <c r="J24" s="40"/>
      <c r="N24" s="42"/>
      <c r="O24" s="42"/>
      <c r="P24" s="122"/>
    </row>
    <row r="25" spans="1:16" s="41" customFormat="1" ht="15.6">
      <c r="A25" s="268" t="s">
        <v>107</v>
      </c>
      <c r="B25" s="419" t="str">
        <f>CONCATENATE("SE Assumptions:  ",'Dtl SE_ModuleDoco'!C100,";
BA Assumptions:  ",'Dtl BA_Considerations'!C67,"
Collaboration_Quality Assumptions:  ",'Dtl Collaboration_Quality'!C44)</f>
        <v xml:space="preserve">SE Assumptions:  Row 14 - 10 hrs needed for Training Environment update
Increased hours from initail is because claims Code/XSD changes were not estimated in the Initial Estimate;
BA Assumptions:  Row 18 - The test Cases are very complex and time consuming (Claims)
Row 26 - The Test Cases are very complex and time consuming.(Fraud Capture).  Added 24 additional hours
Row 17- Row 23 - Claims
Row 25 - 31 - FraudCapture
Row 47 - Claim Hrs - added 27.5 due to the volumn
Row 51 - FraudCapture Hours - Added 10 hours to bump up to needed 20.
Collaboration_Quality Assumptions:  </v>
      </c>
      <c r="C25" s="420"/>
      <c r="D25" s="420"/>
      <c r="E25" s="420"/>
      <c r="F25" s="420"/>
      <c r="G25" s="39"/>
      <c r="H25" s="40"/>
      <c r="I25" s="40"/>
      <c r="J25" s="40"/>
      <c r="N25" s="42"/>
      <c r="O25" s="42"/>
      <c r="P25" s="122"/>
    </row>
    <row r="26" spans="1:16" s="41" customFormat="1" ht="15.6">
      <c r="A26" s="44"/>
      <c r="B26" s="421"/>
      <c r="C26" s="422"/>
      <c r="D26" s="422"/>
      <c r="E26" s="422"/>
      <c r="F26" s="422"/>
      <c r="G26" s="39"/>
      <c r="H26" s="40"/>
      <c r="I26" s="40"/>
      <c r="J26" s="40"/>
      <c r="N26" s="42"/>
      <c r="O26" s="42"/>
      <c r="P26" s="122"/>
    </row>
    <row r="27" spans="1:16" s="41" customFormat="1" ht="15.6">
      <c r="A27" s="44"/>
      <c r="B27" s="421"/>
      <c r="C27" s="422"/>
      <c r="D27" s="422"/>
      <c r="E27" s="422"/>
      <c r="F27" s="422"/>
      <c r="G27" s="39"/>
      <c r="H27" s="40"/>
      <c r="I27" s="40"/>
      <c r="J27" s="40"/>
      <c r="N27" s="42"/>
      <c r="O27" s="42"/>
      <c r="P27" s="122"/>
    </row>
    <row r="28" spans="1:16" s="41" customFormat="1" ht="15.6">
      <c r="A28" s="44"/>
      <c r="B28" s="421"/>
      <c r="C28" s="422"/>
      <c r="D28" s="422"/>
      <c r="E28" s="422"/>
      <c r="F28" s="422"/>
      <c r="G28" s="39"/>
      <c r="H28" s="40"/>
      <c r="I28" s="40"/>
      <c r="J28" s="40"/>
      <c r="N28" s="42"/>
      <c r="O28" s="42"/>
      <c r="P28" s="122"/>
    </row>
    <row r="29" spans="1:16" s="41" customFormat="1" ht="15.6">
      <c r="A29" s="44"/>
      <c r="B29" s="421"/>
      <c r="C29" s="422"/>
      <c r="D29" s="422"/>
      <c r="E29" s="422"/>
      <c r="F29" s="422"/>
      <c r="G29" s="39"/>
      <c r="H29" s="40"/>
      <c r="I29" s="40"/>
      <c r="J29" s="40"/>
      <c r="N29" s="42"/>
      <c r="O29" s="42"/>
      <c r="P29" s="122"/>
    </row>
    <row r="30" spans="1:16" s="41" customFormat="1" ht="15.6">
      <c r="A30" s="44"/>
      <c r="B30" s="421"/>
      <c r="C30" s="422"/>
      <c r="D30" s="422"/>
      <c r="E30" s="422"/>
      <c r="F30" s="422"/>
      <c r="G30" s="39"/>
      <c r="H30" s="40"/>
      <c r="I30" s="40"/>
      <c r="J30" s="40"/>
      <c r="N30" s="42"/>
      <c r="O30" s="42"/>
      <c r="P30" s="122"/>
    </row>
    <row r="31" spans="1:16" s="41" customFormat="1" ht="15.6">
      <c r="A31" s="44"/>
      <c r="B31" s="421"/>
      <c r="C31" s="422"/>
      <c r="D31" s="422"/>
      <c r="E31" s="422"/>
      <c r="F31" s="422"/>
      <c r="G31" s="39"/>
      <c r="H31" s="40"/>
      <c r="I31" s="40"/>
      <c r="J31" s="40"/>
      <c r="N31" s="42"/>
      <c r="O31" s="42"/>
      <c r="P31" s="122"/>
    </row>
    <row r="32" spans="1:16" s="41" customFormat="1" ht="15">
      <c r="A32" s="127"/>
      <c r="B32" s="421"/>
      <c r="C32" s="422"/>
      <c r="D32" s="422"/>
      <c r="E32" s="422"/>
      <c r="F32" s="422"/>
      <c r="G32" s="39"/>
      <c r="H32" s="40"/>
      <c r="I32" s="40"/>
      <c r="J32" s="40"/>
    </row>
    <row r="33" spans="1:15" s="41" customFormat="1" ht="15">
      <c r="A33" s="127"/>
      <c r="B33" s="421"/>
      <c r="C33" s="422"/>
      <c r="D33" s="422"/>
      <c r="E33" s="422"/>
      <c r="F33" s="422"/>
      <c r="G33" s="39"/>
      <c r="H33" s="40"/>
      <c r="I33" s="40"/>
      <c r="J33" s="40"/>
    </row>
    <row r="34" spans="1:15" s="41" customFormat="1" ht="15.6">
      <c r="A34" s="45"/>
      <c r="B34" s="421"/>
      <c r="C34" s="422"/>
      <c r="D34" s="422"/>
      <c r="E34" s="422"/>
      <c r="F34" s="422"/>
      <c r="G34" s="39"/>
      <c r="H34" s="40"/>
      <c r="I34" s="40"/>
      <c r="J34" s="40"/>
    </row>
    <row r="35" spans="1:15" s="41" customFormat="1" ht="15.6">
      <c r="A35" s="45"/>
      <c r="B35" s="421"/>
      <c r="C35" s="422"/>
      <c r="D35" s="422"/>
      <c r="E35" s="422"/>
      <c r="F35" s="422"/>
      <c r="G35" s="39"/>
      <c r="H35" s="40"/>
      <c r="I35" s="40"/>
      <c r="J35" s="40"/>
    </row>
    <row r="36" spans="1:15" s="41" customFormat="1" ht="15.6">
      <c r="A36" s="45"/>
      <c r="B36" s="423"/>
      <c r="C36" s="424"/>
      <c r="D36" s="424"/>
      <c r="E36" s="424"/>
      <c r="F36" s="424"/>
      <c r="G36" s="39"/>
      <c r="H36" s="40"/>
      <c r="I36" s="40"/>
      <c r="J36" s="40"/>
    </row>
    <row r="37" spans="1:15" s="41" customFormat="1" ht="15.6">
      <c r="A37" s="45"/>
      <c r="B37" s="128"/>
      <c r="C37" s="126"/>
      <c r="D37" s="126"/>
      <c r="E37" s="126"/>
      <c r="F37" s="126"/>
      <c r="G37" s="39"/>
      <c r="H37" s="40"/>
      <c r="I37" s="40"/>
      <c r="J37" s="40"/>
    </row>
    <row r="38" spans="1:15" s="41" customFormat="1" ht="15.6">
      <c r="A38" s="268" t="s">
        <v>47</v>
      </c>
      <c r="B38" s="417" t="str">
        <f>'Dtl SE_ModuleDoco'!B6</f>
        <v>Rama, Madhavi, Ravi</v>
      </c>
      <c r="C38" s="418"/>
      <c r="D38" s="418"/>
      <c r="E38" s="418"/>
      <c r="F38" s="126"/>
      <c r="G38" s="39"/>
      <c r="H38" s="40"/>
      <c r="I38" s="40"/>
      <c r="J38" s="40"/>
    </row>
    <row r="39" spans="1:15" s="41" customFormat="1" ht="15.6">
      <c r="A39" s="268" t="s">
        <v>31</v>
      </c>
      <c r="B39" s="417" t="str">
        <f>'Dtl BA_Considerations'!B6</f>
        <v>Aakanksha, Shelly</v>
      </c>
      <c r="C39" s="418"/>
      <c r="D39" s="418"/>
      <c r="E39" s="418"/>
      <c r="F39" s="126"/>
      <c r="G39" s="39"/>
      <c r="H39" s="40"/>
      <c r="I39" s="40"/>
      <c r="J39" s="40"/>
    </row>
    <row r="40" spans="1:15" s="41" customFormat="1" ht="15.6">
      <c r="A40" s="268" t="s">
        <v>127</v>
      </c>
      <c r="B40" s="417" t="str">
        <f>'Dtl Collaboration_Quality'!B7</f>
        <v>Henry Newton, Aakanksha</v>
      </c>
      <c r="C40" s="418"/>
      <c r="D40" s="418"/>
      <c r="E40" s="418"/>
      <c r="F40" s="117"/>
      <c r="G40" s="39"/>
      <c r="H40" s="40"/>
      <c r="I40" s="40"/>
      <c r="J40" s="40"/>
    </row>
    <row r="41" spans="1:15" s="41" customFormat="1" ht="13.8">
      <c r="A41" s="46"/>
      <c r="B41" s="129"/>
      <c r="C41" s="117"/>
      <c r="D41" s="117"/>
      <c r="E41" s="117"/>
      <c r="F41" s="117"/>
      <c r="G41" s="39"/>
      <c r="H41" s="40"/>
      <c r="I41" s="40"/>
      <c r="J41" s="40"/>
    </row>
    <row r="42" spans="1:15" s="41" customFormat="1" ht="13.8">
      <c r="A42" s="46"/>
      <c r="B42" s="129"/>
      <c r="C42" s="117"/>
      <c r="D42" s="117"/>
      <c r="E42" s="117"/>
      <c r="F42" s="117"/>
      <c r="G42" s="39"/>
      <c r="H42" s="40"/>
      <c r="I42" s="40"/>
      <c r="J42" s="40"/>
    </row>
    <row r="43" spans="1:15" s="130" customFormat="1" ht="24.75" customHeight="1">
      <c r="A43" s="230" t="s">
        <v>119</v>
      </c>
      <c r="B43" s="231"/>
      <c r="C43" s="231"/>
      <c r="D43" s="231"/>
      <c r="E43" s="231"/>
      <c r="F43" s="117"/>
      <c r="G43" s="118"/>
      <c r="H43" s="117"/>
      <c r="I43" s="117"/>
    </row>
    <row r="44" spans="1:15" s="131" customFormat="1" ht="39.15" customHeight="1">
      <c r="A44" s="47" t="s">
        <v>96</v>
      </c>
      <c r="B44" s="48" t="s">
        <v>77</v>
      </c>
      <c r="C44" s="48" t="s">
        <v>79</v>
      </c>
      <c r="D44" s="48" t="s">
        <v>93</v>
      </c>
      <c r="E44" s="48" t="s">
        <v>81</v>
      </c>
      <c r="F44" s="117"/>
      <c r="G44" s="118"/>
      <c r="H44" s="117"/>
      <c r="I44" s="117"/>
      <c r="L44" s="132"/>
    </row>
    <row r="45" spans="1:15" s="133" customFormat="1" ht="18.75" customHeight="1">
      <c r="A45" s="269"/>
      <c r="B45" s="270">
        <f>SUM(B47,B49,B51,B53,B55,B57,B59,B61,B63,B65,B67,B69)</f>
        <v>540.25</v>
      </c>
      <c r="C45" s="270">
        <f>SUM(C47,C49,C51,C53,C55,C57,C59,C61,C63,C65,C67,C69)</f>
        <v>515.77499999999998</v>
      </c>
      <c r="D45" s="270">
        <f>SUM(D47,D49,D51,D53,D55,D57,D59,D61)</f>
        <v>-6.75</v>
      </c>
      <c r="E45" s="270">
        <f>MROUND(SUM(E47,E49,E51,E53,E55,E57,E59,E61,E63,E65,E67,E69),0.25)</f>
        <v>515</v>
      </c>
      <c r="F45" s="117"/>
      <c r="G45" s="118"/>
      <c r="H45" s="117"/>
      <c r="I45" s="117"/>
      <c r="L45" s="134"/>
    </row>
    <row r="46" spans="1:15" s="41" customFormat="1" ht="5.25" customHeight="1" outlineLevel="1">
      <c r="A46" s="135"/>
      <c r="B46" s="135"/>
      <c r="C46" s="135"/>
      <c r="D46" s="135"/>
      <c r="E46" s="135"/>
      <c r="F46" s="136"/>
      <c r="G46" s="137"/>
      <c r="H46" s="138"/>
      <c r="I46" s="138"/>
      <c r="J46" s="40"/>
      <c r="K46" s="58"/>
      <c r="L46" s="58"/>
      <c r="M46" s="58"/>
      <c r="N46" s="58"/>
      <c r="O46" s="58"/>
    </row>
    <row r="47" spans="1:15" s="139" customFormat="1" ht="18" customHeight="1" outlineLevel="1">
      <c r="A47" s="269" t="s">
        <v>207</v>
      </c>
      <c r="B47" s="270">
        <f>'Dtl SE_ModuleDoco'!G12</f>
        <v>65.25</v>
      </c>
      <c r="C47" s="270">
        <f>'Dtl SE_ModuleDoco'!H12</f>
        <v>77.375</v>
      </c>
      <c r="D47" s="270">
        <f>'Dtl SE_ModuleDoco'!I12</f>
        <v>-6.75</v>
      </c>
      <c r="E47" s="270">
        <f>'Dtl SE_ModuleDoco'!J12</f>
        <v>70.625</v>
      </c>
      <c r="F47" s="117"/>
      <c r="G47" s="118"/>
      <c r="H47" s="117"/>
      <c r="I47" s="117"/>
      <c r="L47" s="140"/>
    </row>
    <row r="48" spans="1:15" s="41" customFormat="1" ht="5.25" customHeight="1" outlineLevel="1">
      <c r="A48" s="135"/>
      <c r="B48" s="135"/>
      <c r="C48" s="135"/>
      <c r="D48" s="135"/>
      <c r="E48" s="135"/>
      <c r="F48" s="136"/>
      <c r="G48" s="137"/>
      <c r="H48" s="138"/>
      <c r="I48" s="138"/>
      <c r="J48" s="40"/>
      <c r="K48" s="58"/>
      <c r="L48" s="58"/>
      <c r="M48" s="58"/>
      <c r="N48" s="58"/>
      <c r="O48" s="58"/>
    </row>
    <row r="49" spans="1:15" s="133" customFormat="1" ht="18" customHeight="1" outlineLevel="1">
      <c r="A49" s="269" t="s">
        <v>46</v>
      </c>
      <c r="B49" s="270">
        <f>'Dtl SE_ModuleDoco'!G26</f>
        <v>0</v>
      </c>
      <c r="C49" s="270">
        <f>'Dtl SE_ModuleDoco'!H26</f>
        <v>0</v>
      </c>
      <c r="D49" s="270">
        <f>'Dtl SE_ModuleDoco'!I26</f>
        <v>0</v>
      </c>
      <c r="E49" s="270">
        <f>'Dtl SE_ModuleDoco'!J26</f>
        <v>0</v>
      </c>
      <c r="F49" s="117"/>
      <c r="G49" s="118"/>
      <c r="H49" s="117"/>
      <c r="I49" s="117"/>
      <c r="L49" s="134"/>
    </row>
    <row r="50" spans="1:15" s="41" customFormat="1" ht="5.25" customHeight="1" outlineLevel="1">
      <c r="A50" s="135"/>
      <c r="B50" s="135"/>
      <c r="C50" s="135"/>
      <c r="D50" s="135"/>
      <c r="E50" s="135"/>
      <c r="F50" s="136"/>
      <c r="G50" s="137"/>
      <c r="H50" s="138"/>
      <c r="I50" s="138"/>
      <c r="J50" s="40"/>
      <c r="K50" s="58"/>
      <c r="L50" s="58"/>
      <c r="M50" s="58"/>
      <c r="N50" s="58"/>
      <c r="O50" s="58"/>
    </row>
    <row r="51" spans="1:15" s="133" customFormat="1" ht="18" customHeight="1" outlineLevel="1">
      <c r="A51" s="269" t="s">
        <v>153</v>
      </c>
      <c r="B51" s="270">
        <f>'Dtl SE_ModuleDoco'!G35</f>
        <v>147.25</v>
      </c>
      <c r="C51" s="270">
        <f>'Dtl SE_ModuleDoco'!H35</f>
        <v>147.25</v>
      </c>
      <c r="D51" s="270">
        <f>'Dtl SE_ModuleDoco'!I35</f>
        <v>0</v>
      </c>
      <c r="E51" s="270">
        <f>'Dtl SE_ModuleDoco'!J35</f>
        <v>147.25</v>
      </c>
      <c r="F51" s="117"/>
      <c r="G51" s="118"/>
      <c r="H51" s="117"/>
      <c r="I51" s="117"/>
      <c r="L51" s="134"/>
    </row>
    <row r="52" spans="1:15" s="41" customFormat="1" ht="5.25" customHeight="1" outlineLevel="1">
      <c r="A52" s="135"/>
      <c r="B52" s="135"/>
      <c r="C52" s="135"/>
      <c r="D52" s="135"/>
      <c r="E52" s="135"/>
      <c r="F52" s="136"/>
      <c r="G52" s="137"/>
      <c r="H52" s="138"/>
      <c r="I52" s="138"/>
      <c r="J52" s="40"/>
      <c r="K52" s="58"/>
      <c r="L52" s="58"/>
      <c r="M52" s="58"/>
      <c r="N52" s="58"/>
      <c r="O52" s="58"/>
    </row>
    <row r="53" spans="1:15" s="133" customFormat="1" ht="18" customHeight="1" outlineLevel="1">
      <c r="A53" s="269" t="s">
        <v>234</v>
      </c>
      <c r="B53" s="270">
        <f>'Dtl SE_ModuleDoco'!G42</f>
        <v>21.5</v>
      </c>
      <c r="C53" s="270">
        <f>'Dtl SE_ModuleDoco'!H42</f>
        <v>21.5</v>
      </c>
      <c r="D53" s="270">
        <f>'Dtl SE_ModuleDoco'!I42</f>
        <v>0</v>
      </c>
      <c r="E53" s="270">
        <f>'Dtl SE_ModuleDoco'!J42</f>
        <v>21.5</v>
      </c>
      <c r="F53" s="117"/>
      <c r="G53" s="118"/>
      <c r="H53" s="117"/>
      <c r="I53" s="117"/>
      <c r="L53" s="134"/>
    </row>
    <row r="54" spans="1:15" s="41" customFormat="1" ht="5.25" customHeight="1" outlineLevel="1">
      <c r="A54" s="135"/>
      <c r="B54" s="135"/>
      <c r="C54" s="135"/>
      <c r="D54" s="135"/>
      <c r="E54" s="135"/>
      <c r="F54" s="136"/>
      <c r="G54" s="137"/>
      <c r="H54" s="138"/>
      <c r="I54" s="138"/>
      <c r="J54" s="40"/>
      <c r="K54" s="58"/>
      <c r="L54" s="58"/>
      <c r="M54" s="58"/>
      <c r="N54" s="58"/>
      <c r="O54" s="58"/>
    </row>
    <row r="55" spans="1:15" s="133" customFormat="1" ht="18" customHeight="1" outlineLevel="1">
      <c r="A55" s="269" t="s">
        <v>228</v>
      </c>
      <c r="B55" s="270">
        <f>'Dtl SE_ModuleDoco'!G47</f>
        <v>7.75</v>
      </c>
      <c r="C55" s="270">
        <f>'Dtl SE_ModuleDoco'!H47</f>
        <v>7.75</v>
      </c>
      <c r="D55" s="270">
        <f>'Dtl SE_ModuleDoco'!I47</f>
        <v>0</v>
      </c>
      <c r="E55" s="270">
        <f>'Dtl SE_ModuleDoco'!J47</f>
        <v>7.75</v>
      </c>
      <c r="F55" s="117"/>
      <c r="G55" s="118"/>
      <c r="H55" s="117"/>
      <c r="I55" s="117"/>
      <c r="L55" s="134"/>
    </row>
    <row r="56" spans="1:15" s="41" customFormat="1" ht="5.25" customHeight="1" outlineLevel="1">
      <c r="A56" s="135"/>
      <c r="B56" s="135"/>
      <c r="C56" s="135"/>
      <c r="D56" s="135"/>
      <c r="E56" s="135"/>
      <c r="F56" s="136"/>
      <c r="G56" s="137"/>
      <c r="H56" s="138"/>
      <c r="I56" s="138"/>
      <c r="J56" s="40"/>
      <c r="K56" s="58"/>
      <c r="L56" s="58"/>
      <c r="M56" s="58"/>
      <c r="N56" s="58"/>
      <c r="O56" s="58"/>
    </row>
    <row r="57" spans="1:15" s="133" customFormat="1" ht="18" customHeight="1" outlineLevel="1">
      <c r="A57" s="269" t="s">
        <v>229</v>
      </c>
      <c r="B57" s="270">
        <f>'Dtl SE_ModuleDoco'!G52</f>
        <v>6.5</v>
      </c>
      <c r="C57" s="270">
        <f>'Dtl SE_ModuleDoco'!H52</f>
        <v>6.5</v>
      </c>
      <c r="D57" s="270">
        <f>'Dtl SE_ModuleDoco'!I52</f>
        <v>0</v>
      </c>
      <c r="E57" s="270">
        <f>'Dtl SE_ModuleDoco'!J52</f>
        <v>6.5</v>
      </c>
      <c r="F57" s="117"/>
      <c r="G57" s="118"/>
      <c r="H57" s="117"/>
      <c r="I57" s="117"/>
      <c r="L57" s="134"/>
    </row>
    <row r="58" spans="1:15" s="41" customFormat="1" ht="5.25" customHeight="1" outlineLevel="1">
      <c r="A58" s="135"/>
      <c r="B58" s="135"/>
      <c r="C58" s="135"/>
      <c r="D58" s="135"/>
      <c r="E58" s="135"/>
      <c r="F58" s="136"/>
      <c r="G58" s="137"/>
      <c r="H58" s="138"/>
      <c r="I58" s="138"/>
      <c r="J58" s="40"/>
      <c r="K58" s="58"/>
      <c r="L58" s="58"/>
      <c r="M58" s="58"/>
      <c r="N58" s="58"/>
      <c r="O58" s="58"/>
    </row>
    <row r="59" spans="1:15" s="133" customFormat="1" ht="18" customHeight="1" outlineLevel="1">
      <c r="A59" s="269" t="s">
        <v>230</v>
      </c>
      <c r="B59" s="270">
        <f>'Dtl SE_ModuleDoco'!G58</f>
        <v>0</v>
      </c>
      <c r="C59" s="270">
        <f>'Dtl SE_ModuleDoco'!H58</f>
        <v>0</v>
      </c>
      <c r="D59" s="270">
        <f>'Dtl SE_ModuleDoco'!I58</f>
        <v>0</v>
      </c>
      <c r="E59" s="270">
        <f>'Dtl SE_ModuleDoco'!J58</f>
        <v>0</v>
      </c>
      <c r="F59" s="117"/>
      <c r="G59" s="118"/>
      <c r="H59" s="117"/>
      <c r="I59" s="117"/>
      <c r="L59" s="134"/>
    </row>
    <row r="60" spans="1:15" s="41" customFormat="1" ht="5.25" customHeight="1" outlineLevel="1">
      <c r="A60" s="94"/>
      <c r="B60" s="95"/>
      <c r="C60" s="95"/>
      <c r="D60" s="95"/>
      <c r="E60" s="95"/>
      <c r="F60" s="136"/>
      <c r="G60" s="137"/>
      <c r="H60" s="138"/>
      <c r="I60" s="138"/>
      <c r="J60" s="40"/>
      <c r="K60" s="58"/>
      <c r="L60" s="58"/>
      <c r="M60" s="58"/>
      <c r="N60" s="58"/>
      <c r="O60" s="58"/>
    </row>
    <row r="61" spans="1:15" s="133" customFormat="1" ht="18" customHeight="1" outlineLevel="1">
      <c r="A61" s="269" t="s">
        <v>180</v>
      </c>
      <c r="B61" s="270">
        <f>'Dtl SE_ModuleDoco'!G65</f>
        <v>0</v>
      </c>
      <c r="C61" s="270">
        <f>'Dtl SE_ModuleDoco'!H65</f>
        <v>0</v>
      </c>
      <c r="D61" s="270">
        <f>'Dtl SE_ModuleDoco'!I65</f>
        <v>0</v>
      </c>
      <c r="E61" s="270">
        <f>'Dtl SE_ModuleDoco'!J65</f>
        <v>0</v>
      </c>
      <c r="F61" s="117"/>
      <c r="G61" s="118"/>
      <c r="H61" s="117"/>
      <c r="I61" s="117"/>
      <c r="L61" s="134"/>
    </row>
    <row r="62" spans="1:15" s="133" customFormat="1" ht="5.25" customHeight="1" outlineLevel="1">
      <c r="A62" s="94"/>
      <c r="B62" s="95"/>
      <c r="C62" s="95"/>
      <c r="D62" s="95"/>
      <c r="E62" s="95"/>
      <c r="F62" s="117"/>
      <c r="G62" s="118"/>
      <c r="H62" s="117"/>
      <c r="I62" s="117"/>
      <c r="L62" s="134"/>
    </row>
    <row r="63" spans="1:15" s="133" customFormat="1" ht="14.25" customHeight="1" outlineLevel="1">
      <c r="A63" s="269" t="s">
        <v>157</v>
      </c>
      <c r="B63" s="270">
        <f>'Dtl SE_ModuleDoco'!G70</f>
        <v>0</v>
      </c>
      <c r="C63" s="270">
        <f>'Dtl SE_ModuleDoco'!H70</f>
        <v>0</v>
      </c>
      <c r="D63" s="270">
        <f>'Dtl SE_ModuleDoco'!I70</f>
        <v>0</v>
      </c>
      <c r="E63" s="270">
        <f>'Dtl SE_ModuleDoco'!J70</f>
        <v>0</v>
      </c>
      <c r="F63" s="117"/>
      <c r="G63" s="118"/>
      <c r="H63" s="117"/>
      <c r="I63" s="117"/>
      <c r="L63" s="134"/>
    </row>
    <row r="64" spans="1:15" s="133" customFormat="1" ht="6.75" customHeight="1" outlineLevel="1">
      <c r="A64" s="94"/>
      <c r="B64" s="95"/>
      <c r="C64" s="95"/>
      <c r="D64" s="95"/>
      <c r="E64" s="95"/>
      <c r="F64" s="117"/>
      <c r="G64" s="118"/>
      <c r="H64" s="117"/>
      <c r="I64" s="117"/>
      <c r="L64" s="134"/>
    </row>
    <row r="65" spans="1:15" s="133" customFormat="1" ht="15" customHeight="1" outlineLevel="1">
      <c r="A65" s="269" t="s">
        <v>241</v>
      </c>
      <c r="B65" s="270">
        <f>'Dtl SE_ModuleDoco'!G75</f>
        <v>0</v>
      </c>
      <c r="C65" s="270">
        <f>'Dtl SE_ModuleDoco'!H75</f>
        <v>0</v>
      </c>
      <c r="D65" s="270">
        <f>'Dtl SE_ModuleDoco'!I75</f>
        <v>0</v>
      </c>
      <c r="E65" s="270">
        <f>'Dtl SE_ModuleDoco'!J75</f>
        <v>0</v>
      </c>
      <c r="F65" s="117"/>
      <c r="G65" s="118"/>
      <c r="H65" s="117"/>
      <c r="I65" s="117"/>
      <c r="L65" s="134"/>
    </row>
    <row r="66" spans="1:15" s="133" customFormat="1" ht="5.25" customHeight="1" outlineLevel="1">
      <c r="A66" s="94"/>
      <c r="B66" s="95"/>
      <c r="C66" s="95"/>
      <c r="D66" s="95"/>
      <c r="E66" s="95"/>
      <c r="F66" s="117"/>
      <c r="G66" s="118"/>
      <c r="H66" s="117"/>
      <c r="I66" s="117"/>
      <c r="L66" s="134"/>
    </row>
    <row r="67" spans="1:15" s="133" customFormat="1" ht="15" customHeight="1" outlineLevel="1">
      <c r="A67" s="269" t="s">
        <v>161</v>
      </c>
      <c r="B67" s="270">
        <f>'Dtl SE_ModuleDoco'!G80</f>
        <v>292</v>
      </c>
      <c r="C67" s="270">
        <f>'Dtl SE_ModuleDoco'!H80</f>
        <v>255.4</v>
      </c>
      <c r="D67" s="270">
        <f>'Dtl SE_ModuleDoco'!I80</f>
        <v>0</v>
      </c>
      <c r="E67" s="270">
        <f>'Dtl SE_ModuleDoco'!J80</f>
        <v>255.4</v>
      </c>
      <c r="F67" s="117"/>
      <c r="G67" s="118"/>
      <c r="H67" s="117"/>
      <c r="I67" s="117"/>
      <c r="L67" s="134"/>
    </row>
    <row r="68" spans="1:15" s="133" customFormat="1" ht="3.75" customHeight="1" outlineLevel="1">
      <c r="A68" s="141"/>
      <c r="B68" s="49"/>
      <c r="C68" s="49"/>
      <c r="D68" s="49"/>
      <c r="E68" s="49"/>
      <c r="F68" s="117"/>
      <c r="G68" s="118"/>
      <c r="H68" s="117"/>
      <c r="I68" s="117"/>
      <c r="L68" s="134"/>
    </row>
    <row r="69" spans="1:15" s="133" customFormat="1" ht="15.75" customHeight="1" outlineLevel="1" collapsed="1">
      <c r="A69" s="269" t="s">
        <v>239</v>
      </c>
      <c r="B69" s="270">
        <f>SUM(B70:B72)</f>
        <v>0</v>
      </c>
      <c r="C69" s="270">
        <f t="shared" ref="C69:D69" si="0">SUM(C70:C72)</f>
        <v>0</v>
      </c>
      <c r="D69" s="270">
        <f t="shared" si="0"/>
        <v>6</v>
      </c>
      <c r="E69" s="270">
        <f>SUM(E70:E72)</f>
        <v>6</v>
      </c>
      <c r="F69" s="117"/>
      <c r="G69" s="118"/>
      <c r="H69" s="117"/>
      <c r="I69" s="117"/>
      <c r="L69" s="134"/>
    </row>
    <row r="70" spans="1:15" s="133" customFormat="1" ht="15" customHeight="1" outlineLevel="1">
      <c r="A70" s="141" t="s">
        <v>67</v>
      </c>
      <c r="B70" s="49">
        <f>SUMIFS('Dtl SE_ModuleDoco'!G$91:G$91,'Dtl SE_ModuleDoco'!$A$91:$A$91,"=New to Area")</f>
        <v>0</v>
      </c>
      <c r="C70" s="49">
        <f>SUMIFS('Dtl SE_ModuleDoco'!H$91:H$91,'Dtl SE_ModuleDoco'!$A$91:$A$91,"=New to Area")</f>
        <v>0</v>
      </c>
      <c r="D70" s="49">
        <f>SUMIFS('Dtl SE_ModuleDoco'!I$91:I$91,'Dtl SE_ModuleDoco'!$A$91:$A$91,"=New to Area")</f>
        <v>0</v>
      </c>
      <c r="E70" s="49">
        <f>SUMIFS('Dtl SE_ModuleDoco'!J$91:J$91,'Dtl SE_ModuleDoco'!$A$91:$A$91,"=New to Area")</f>
        <v>0</v>
      </c>
      <c r="F70" s="117"/>
      <c r="G70" s="118"/>
      <c r="H70" s="117"/>
      <c r="I70" s="117"/>
      <c r="L70" s="134"/>
    </row>
    <row r="71" spans="1:15" s="133" customFormat="1" ht="15" customHeight="1" outlineLevel="1">
      <c r="A71" s="141" t="s">
        <v>116</v>
      </c>
      <c r="B71" s="49">
        <f>SUMIFS('Dtl SE_ModuleDoco'!G$91:G$91,'Dtl SE_ModuleDoco'!$A$91:$A$91,"=Proficient")</f>
        <v>0</v>
      </c>
      <c r="C71" s="49">
        <f>SUMIFS('Dtl SE_ModuleDoco'!H$91:H$91,'Dtl SE_ModuleDoco'!$A$91:$A$91,"=Proficient")</f>
        <v>0</v>
      </c>
      <c r="D71" s="49">
        <f>SUMIFS('Dtl SE_ModuleDoco'!I$91:I$91,'Dtl SE_ModuleDoco'!$A$91:$A$91,"=Proficient")</f>
        <v>6</v>
      </c>
      <c r="E71" s="49">
        <f>SUMIFS('Dtl SE_ModuleDoco'!J$91:J$91,'Dtl SE_ModuleDoco'!$A$91:$A$91,"=Proficient")</f>
        <v>6</v>
      </c>
      <c r="F71" s="117"/>
      <c r="G71" s="118"/>
      <c r="H71" s="117"/>
      <c r="I71" s="117"/>
      <c r="L71" s="134"/>
    </row>
    <row r="72" spans="1:15" s="133" customFormat="1" ht="15" customHeight="1" outlineLevel="1">
      <c r="A72" s="141" t="s">
        <v>69</v>
      </c>
      <c r="B72" s="49">
        <f>SUMIFS('Dtl SE_ModuleDoco'!G$91:G$91,'Dtl SE_ModuleDoco'!$A$91:$A$91,"=Expert")</f>
        <v>0</v>
      </c>
      <c r="C72" s="49">
        <f>SUMIFS('Dtl SE_ModuleDoco'!H$91:H$91,'Dtl SE_ModuleDoco'!$A$91:$A$91,"=Expert")</f>
        <v>0</v>
      </c>
      <c r="D72" s="49">
        <f>SUMIFS('Dtl SE_ModuleDoco'!I$91:I$91,'Dtl SE_ModuleDoco'!$A$91:$A$91,"=Expert")</f>
        <v>0</v>
      </c>
      <c r="E72" s="49">
        <f>SUMIFS('Dtl SE_ModuleDoco'!J$91:J$91,'Dtl SE_ModuleDoco'!$A$91:$A$91,"=Expert")</f>
        <v>0</v>
      </c>
      <c r="F72" s="117"/>
      <c r="G72" s="118"/>
      <c r="H72" s="117"/>
      <c r="I72" s="117"/>
      <c r="L72" s="134"/>
    </row>
    <row r="73" spans="1:15" s="133" customFormat="1" ht="15" customHeight="1">
      <c r="A73" s="141"/>
      <c r="B73" s="49"/>
      <c r="C73" s="49"/>
      <c r="D73" s="49"/>
      <c r="E73" s="49"/>
      <c r="F73" s="117"/>
      <c r="G73" s="118"/>
      <c r="H73" s="117"/>
      <c r="I73" s="117"/>
      <c r="L73" s="134"/>
    </row>
    <row r="74" spans="1:15" s="133" customFormat="1" ht="15" customHeight="1">
      <c r="A74" s="141"/>
      <c r="B74" s="49"/>
      <c r="C74" s="49"/>
      <c r="D74" s="49"/>
      <c r="E74" s="49"/>
      <c r="F74" s="117"/>
      <c r="G74" s="118"/>
      <c r="H74" s="117"/>
      <c r="I74" s="117"/>
      <c r="L74" s="134"/>
    </row>
    <row r="75" spans="1:15" s="142" customFormat="1" ht="23.25" customHeight="1">
      <c r="A75" s="220" t="s">
        <v>120</v>
      </c>
      <c r="B75" s="222"/>
      <c r="C75" s="222"/>
      <c r="D75" s="222"/>
      <c r="E75" s="222"/>
      <c r="G75" s="143"/>
    </row>
    <row r="76" spans="1:15" s="130" customFormat="1" ht="9" customHeight="1">
      <c r="A76" s="144" t="s">
        <v>92</v>
      </c>
      <c r="G76" s="145"/>
    </row>
    <row r="77" spans="1:15" ht="33.75" customHeight="1">
      <c r="A77" s="47" t="s">
        <v>96</v>
      </c>
      <c r="B77" s="48" t="s">
        <v>77</v>
      </c>
      <c r="C77" s="48" t="s">
        <v>79</v>
      </c>
      <c r="D77" s="48" t="s">
        <v>93</v>
      </c>
      <c r="E77" s="48" t="s">
        <v>81</v>
      </c>
    </row>
    <row r="78" spans="1:15" ht="15.6">
      <c r="A78" s="269"/>
      <c r="B78" s="270">
        <f>SUM(B81,B83,B85,B90,B95,B101,B103,B117)</f>
        <v>82.2</v>
      </c>
      <c r="C78" s="270">
        <f>SUM(C81,C83,C85,C90,C95,C101,C103,C117)</f>
        <v>84.7</v>
      </c>
      <c r="D78" s="270">
        <f>SUM(D81,D83,D85,D90,D95,D101,D103)</f>
        <v>61.5</v>
      </c>
      <c r="E78" s="270">
        <f>SUM(E81,E83,E85,E90,E95,E101,E103,E117)</f>
        <v>497.5</v>
      </c>
    </row>
    <row r="79" spans="1:15" ht="6" customHeight="1" outlineLevel="1">
      <c r="A79" s="135"/>
      <c r="B79" s="135"/>
      <c r="C79" s="135"/>
      <c r="D79" s="135"/>
      <c r="E79" s="135"/>
    </row>
    <row r="80" spans="1:15" s="41" customFormat="1" ht="8.4" customHeight="1" outlineLevel="1">
      <c r="A80" s="271"/>
      <c r="B80" s="272"/>
      <c r="C80" s="272"/>
      <c r="D80" s="272"/>
      <c r="E80" s="272"/>
      <c r="F80" s="136"/>
      <c r="G80" s="137"/>
      <c r="H80" s="138"/>
      <c r="I80" s="138"/>
      <c r="J80" s="40"/>
      <c r="K80" s="58"/>
      <c r="L80" s="58"/>
      <c r="M80" s="58"/>
      <c r="N80" s="58"/>
      <c r="O80" s="58"/>
    </row>
    <row r="81" spans="1:15" s="41" customFormat="1" ht="15.6" outlineLevel="1">
      <c r="A81" s="269" t="s">
        <v>276</v>
      </c>
      <c r="B81" s="270">
        <f>'Dtl BA_Considerations'!H11</f>
        <v>0</v>
      </c>
      <c r="C81" s="270"/>
      <c r="D81" s="270"/>
      <c r="E81" s="270">
        <f>'Dtl BA_Considerations'!K11</f>
        <v>0</v>
      </c>
      <c r="F81" s="136"/>
      <c r="G81" s="137"/>
      <c r="H81" s="138"/>
      <c r="I81" s="138"/>
      <c r="J81" s="40"/>
      <c r="K81" s="58"/>
      <c r="L81" s="58"/>
      <c r="M81" s="58"/>
      <c r="N81" s="58"/>
      <c r="O81" s="58"/>
    </row>
    <row r="82" spans="1:15" s="41" customFormat="1" ht="5.25" customHeight="1" outlineLevel="1">
      <c r="A82" s="135"/>
      <c r="B82" s="135"/>
      <c r="C82" s="135"/>
      <c r="D82" s="135"/>
      <c r="E82" s="135"/>
      <c r="F82" s="136"/>
      <c r="G82" s="137"/>
      <c r="H82" s="138"/>
      <c r="I82" s="138"/>
      <c r="J82" s="40"/>
      <c r="K82" s="58"/>
      <c r="L82" s="58"/>
      <c r="M82" s="58"/>
      <c r="N82" s="58"/>
      <c r="O82" s="58"/>
    </row>
    <row r="83" spans="1:15" ht="15.6" outlineLevel="1">
      <c r="A83" s="269" t="s">
        <v>277</v>
      </c>
      <c r="B83" s="270">
        <f>'Dtl BA_Considerations'!H13</f>
        <v>0</v>
      </c>
      <c r="C83" s="270"/>
      <c r="D83" s="270"/>
      <c r="E83" s="270">
        <f>'Dtl BA_Considerations'!K13</f>
        <v>0</v>
      </c>
      <c r="H83" s="146"/>
    </row>
    <row r="84" spans="1:15" s="41" customFormat="1" ht="5.25" customHeight="1" outlineLevel="1">
      <c r="A84" s="135"/>
      <c r="B84" s="135"/>
      <c r="C84" s="135"/>
      <c r="D84" s="135"/>
      <c r="E84" s="135"/>
      <c r="F84" s="136"/>
      <c r="G84" s="137"/>
      <c r="H84" s="138"/>
      <c r="I84" s="138"/>
      <c r="J84" s="40"/>
      <c r="K84" s="58"/>
      <c r="L84" s="58"/>
      <c r="M84" s="58"/>
      <c r="N84" s="58"/>
      <c r="O84" s="58"/>
    </row>
    <row r="85" spans="1:15" ht="15.6" outlineLevel="1">
      <c r="A85" s="269" t="s">
        <v>278</v>
      </c>
      <c r="B85" s="270">
        <f>SUM(B87:B88)</f>
        <v>16</v>
      </c>
      <c r="C85" s="270">
        <f>SUM(C87:C88)</f>
        <v>16</v>
      </c>
      <c r="D85" s="270">
        <f>SUM(D87:D88)</f>
        <v>24</v>
      </c>
      <c r="E85" s="270">
        <f>MROUND(SUM(E86:E88),0.25)</f>
        <v>177.5</v>
      </c>
    </row>
    <row r="86" spans="1:15" ht="13.8" outlineLevel="2">
      <c r="A86" s="141" t="s">
        <v>67</v>
      </c>
      <c r="B86" s="49">
        <f>'Dtl BA_Considerations'!H17+'Dtl BA_Considerations'!H18</f>
        <v>86</v>
      </c>
      <c r="C86" s="49">
        <f>'Dtl BA_Considerations'!I17+'Dtl BA_Considerations'!I18</f>
        <v>107.5</v>
      </c>
      <c r="D86" s="49">
        <f>'Dtl BA_Considerations'!J17+'Dtl BA_Considerations'!J18</f>
        <v>30</v>
      </c>
      <c r="E86" s="49">
        <f>'Dtl BA_Considerations'!K17+'Dtl BA_Considerations'!K18</f>
        <v>137.5</v>
      </c>
    </row>
    <row r="87" spans="1:15" ht="13.8" outlineLevel="2">
      <c r="A87" s="141" t="s">
        <v>116</v>
      </c>
      <c r="B87" s="49">
        <f>'Dtl BA_Considerations'!H25+'Dtl BA_Considerations'!H26</f>
        <v>16</v>
      </c>
      <c r="C87" s="49">
        <f>'Dtl BA_Considerations'!I25+'Dtl BA_Considerations'!I26</f>
        <v>16</v>
      </c>
      <c r="D87" s="49">
        <f>'Dtl BA_Considerations'!J25+'Dtl BA_Considerations'!J26</f>
        <v>24</v>
      </c>
      <c r="E87" s="49">
        <f>'Dtl BA_Considerations'!K25+'Dtl BA_Considerations'!K26</f>
        <v>40</v>
      </c>
    </row>
    <row r="88" spans="1:15" ht="13.8" outlineLevel="2">
      <c r="A88" s="141" t="s">
        <v>69</v>
      </c>
      <c r="B88" s="49">
        <f>'Dtl BA_Considerations'!H33+'Dtl BA_Considerations'!H34</f>
        <v>0</v>
      </c>
      <c r="C88" s="49">
        <f>'Dtl BA_Considerations'!I33+'Dtl BA_Considerations'!I34</f>
        <v>0</v>
      </c>
      <c r="D88" s="49">
        <f>'Dtl BA_Considerations'!J33+'Dtl BA_Considerations'!J34</f>
        <v>0</v>
      </c>
      <c r="E88" s="49">
        <f>'Dtl BA_Considerations'!K33+'Dtl BA_Considerations'!K34</f>
        <v>0</v>
      </c>
    </row>
    <row r="89" spans="1:15" s="41" customFormat="1" ht="5.25" customHeight="1" outlineLevel="1">
      <c r="A89" s="135"/>
      <c r="B89" s="135"/>
      <c r="C89" s="135"/>
      <c r="D89" s="135"/>
      <c r="E89" s="135"/>
      <c r="F89" s="136"/>
      <c r="G89" s="137"/>
      <c r="H89" s="138"/>
      <c r="I89" s="138"/>
      <c r="J89" s="40"/>
      <c r="K89" s="58"/>
      <c r="L89" s="58"/>
      <c r="M89" s="58"/>
      <c r="N89" s="58"/>
      <c r="O89" s="58"/>
    </row>
    <row r="90" spans="1:15" ht="15.6" outlineLevel="1">
      <c r="A90" s="269" t="s">
        <v>97</v>
      </c>
      <c r="B90" s="270">
        <f>SUM(B92:B93)</f>
        <v>4</v>
      </c>
      <c r="C90" s="270">
        <f>SUM(C92:C93)</f>
        <v>4</v>
      </c>
      <c r="D90" s="270">
        <f>SUM(D92:D93)</f>
        <v>0</v>
      </c>
      <c r="E90" s="270">
        <f>MROUND(SUM(E91:E93),0.25)</f>
        <v>29</v>
      </c>
    </row>
    <row r="91" spans="1:15" ht="13.8" outlineLevel="2">
      <c r="A91" s="141" t="s">
        <v>67</v>
      </c>
      <c r="B91" s="49">
        <f>'Dtl BA_Considerations'!H20</f>
        <v>20</v>
      </c>
      <c r="C91" s="49">
        <f>'Dtl BA_Considerations'!I20</f>
        <v>25</v>
      </c>
      <c r="D91" s="49">
        <f>'Dtl BA_Considerations'!J20</f>
        <v>0</v>
      </c>
      <c r="E91" s="49">
        <f>'Dtl BA_Considerations'!K20</f>
        <v>25</v>
      </c>
    </row>
    <row r="92" spans="1:15" ht="13.8" outlineLevel="2">
      <c r="A92" s="141" t="s">
        <v>116</v>
      </c>
      <c r="B92" s="49">
        <f>'Dtl BA_Considerations'!H28</f>
        <v>4</v>
      </c>
      <c r="C92" s="49">
        <f>'Dtl BA_Considerations'!I28</f>
        <v>4</v>
      </c>
      <c r="D92" s="49">
        <f>'Dtl BA_Considerations'!J28</f>
        <v>0</v>
      </c>
      <c r="E92" s="49">
        <f>'Dtl BA_Considerations'!K28</f>
        <v>4</v>
      </c>
    </row>
    <row r="93" spans="1:15" ht="13.8" outlineLevel="2">
      <c r="A93" s="141" t="s">
        <v>69</v>
      </c>
      <c r="B93" s="49">
        <f>'Dtl BA_Considerations'!H36</f>
        <v>0</v>
      </c>
      <c r="C93" s="49">
        <f>'Dtl BA_Considerations'!I36</f>
        <v>0</v>
      </c>
      <c r="D93" s="49">
        <f>'Dtl BA_Considerations'!J36</f>
        <v>0</v>
      </c>
      <c r="E93" s="49">
        <f>'Dtl BA_Considerations'!K36</f>
        <v>0</v>
      </c>
    </row>
    <row r="94" spans="1:15" s="41" customFormat="1" ht="5.25" customHeight="1" outlineLevel="1">
      <c r="A94" s="135"/>
      <c r="B94" s="135"/>
      <c r="C94" s="135"/>
      <c r="D94" s="135"/>
      <c r="E94" s="135"/>
      <c r="F94" s="136"/>
      <c r="G94" s="137"/>
      <c r="H94" s="138"/>
      <c r="I94" s="138"/>
      <c r="J94" s="40"/>
      <c r="K94" s="58"/>
      <c r="L94" s="58"/>
      <c r="M94" s="58"/>
      <c r="N94" s="58"/>
      <c r="O94" s="58"/>
    </row>
    <row r="95" spans="1:15" ht="15.6" outlineLevel="1">
      <c r="A95" s="269" t="s">
        <v>98</v>
      </c>
      <c r="B95" s="270">
        <f>SUM(B97:B98)</f>
        <v>30.2</v>
      </c>
      <c r="C95" s="270">
        <f>SUM(C97:C98)</f>
        <v>30.2</v>
      </c>
      <c r="D95" s="270">
        <f>SUM(D97:D98)</f>
        <v>0</v>
      </c>
      <c r="E95" s="270">
        <f>MROUND(SUM(E96:E98),0.25)</f>
        <v>219</v>
      </c>
    </row>
    <row r="96" spans="1:15" ht="13.8" outlineLevel="2">
      <c r="A96" s="141" t="s">
        <v>67</v>
      </c>
      <c r="B96" s="49">
        <f>'Dtl BA_Considerations'!H21+'Dtl BA_Considerations'!H22+'Dtl BA_Considerations'!H23</f>
        <v>151</v>
      </c>
      <c r="C96" s="49">
        <f>'Dtl BA_Considerations'!I21+'Dtl BA_Considerations'!I22+'Dtl BA_Considerations'!I23</f>
        <v>188.75</v>
      </c>
      <c r="D96" s="49">
        <f>'Dtl BA_Considerations'!J21+'Dtl BA_Considerations'!J22+'Dtl BA_Considerations'!J23</f>
        <v>0</v>
      </c>
      <c r="E96" s="49">
        <f>'Dtl BA_Considerations'!K21+'Dtl BA_Considerations'!K22+'Dtl BA_Considerations'!K23</f>
        <v>188.75</v>
      </c>
    </row>
    <row r="97" spans="1:15" ht="13.8" outlineLevel="2">
      <c r="A97" s="141" t="s">
        <v>116</v>
      </c>
      <c r="B97" s="49">
        <f>'Dtl BA_Considerations'!H29+'Dtl BA_Considerations'!H30+'Dtl BA_Considerations'!H31</f>
        <v>30.2</v>
      </c>
      <c r="C97" s="49">
        <f>'Dtl BA_Considerations'!I29+'Dtl BA_Considerations'!I30+'Dtl BA_Considerations'!I31</f>
        <v>30.2</v>
      </c>
      <c r="D97" s="49">
        <f>'Dtl BA_Considerations'!J29+'Dtl BA_Considerations'!J30+'Dtl BA_Considerations'!J31</f>
        <v>0</v>
      </c>
      <c r="E97" s="49">
        <f>'Dtl BA_Considerations'!K29+'Dtl BA_Considerations'!K30+'Dtl BA_Considerations'!K31</f>
        <v>30.2</v>
      </c>
    </row>
    <row r="98" spans="1:15" ht="13.8" outlineLevel="2">
      <c r="A98" s="141" t="s">
        <v>69</v>
      </c>
      <c r="B98" s="49">
        <f>'Dtl BA_Considerations'!H37+'Dtl BA_Considerations'!H38+'Dtl BA_Considerations'!H39</f>
        <v>0</v>
      </c>
      <c r="C98" s="49">
        <f>'Dtl BA_Considerations'!I37+'Dtl BA_Considerations'!I38+'Dtl BA_Considerations'!I39</f>
        <v>0</v>
      </c>
      <c r="D98" s="49">
        <f>'Dtl BA_Considerations'!J37+'Dtl BA_Considerations'!J38+'Dtl BA_Considerations'!J39</f>
        <v>0</v>
      </c>
      <c r="E98" s="49">
        <f>'Dtl BA_Considerations'!K37+'Dtl BA_Considerations'!K38+'Dtl BA_Considerations'!K39</f>
        <v>0</v>
      </c>
    </row>
    <row r="99" spans="1:15" s="41" customFormat="1" ht="4.6500000000000004" customHeight="1" outlineLevel="1">
      <c r="A99" s="135"/>
      <c r="B99" s="135"/>
      <c r="C99" s="135"/>
      <c r="D99" s="135"/>
      <c r="E99" s="135"/>
      <c r="F99" s="136"/>
      <c r="G99" s="137"/>
      <c r="H99" s="138"/>
      <c r="I99" s="138"/>
      <c r="J99" s="40"/>
      <c r="K99" s="58"/>
      <c r="L99" s="58"/>
      <c r="M99" s="58"/>
      <c r="N99" s="58"/>
      <c r="O99" s="58"/>
    </row>
    <row r="100" spans="1:15" s="41" customFormat="1" ht="5.25" customHeight="1" outlineLevel="1">
      <c r="A100" s="135"/>
      <c r="B100" s="135"/>
      <c r="C100" s="135"/>
      <c r="D100" s="135"/>
      <c r="E100" s="135"/>
      <c r="F100" s="136"/>
      <c r="G100" s="137"/>
      <c r="H100" s="138"/>
      <c r="I100" s="138"/>
      <c r="J100" s="40"/>
      <c r="K100" s="58"/>
      <c r="L100" s="58"/>
      <c r="M100" s="58"/>
      <c r="N100" s="58"/>
      <c r="O100" s="58"/>
    </row>
    <row r="101" spans="1:15" ht="15.6" outlineLevel="1">
      <c r="A101" s="269" t="str">
        <f>CONCATENATE("Regression Testing/Documentation ")</f>
        <v xml:space="preserve">Regression Testing/Documentation </v>
      </c>
      <c r="B101" s="270">
        <f>'Dtl BA_Considerations'!H42</f>
        <v>0</v>
      </c>
      <c r="C101" s="270">
        <f>'Dtl BA_Considerations'!I42</f>
        <v>0</v>
      </c>
      <c r="D101" s="270">
        <f>'Dtl BA_Considerations'!J42</f>
        <v>0</v>
      </c>
      <c r="E101" s="270">
        <f>'Dtl BA_Considerations'!K42</f>
        <v>0</v>
      </c>
    </row>
    <row r="102" spans="1:15" s="41" customFormat="1" ht="5.25" customHeight="1" outlineLevel="1">
      <c r="A102" s="271"/>
      <c r="B102" s="272"/>
      <c r="C102" s="272"/>
      <c r="D102" s="272"/>
      <c r="E102" s="272"/>
      <c r="F102" s="136"/>
      <c r="G102" s="137"/>
      <c r="H102" s="138"/>
      <c r="I102" s="138"/>
      <c r="J102" s="40"/>
      <c r="K102" s="58"/>
      <c r="L102" s="58"/>
      <c r="M102" s="58"/>
      <c r="N102" s="58"/>
      <c r="O102" s="58"/>
    </row>
    <row r="103" spans="1:15" ht="15.6" outlineLevel="1">
      <c r="A103" s="269" t="s">
        <v>85</v>
      </c>
      <c r="B103" s="270">
        <f>SUM(B104,B112,B108)</f>
        <v>20</v>
      </c>
      <c r="C103" s="270">
        <f>SUM(C104,C112,C108)</f>
        <v>22.5</v>
      </c>
      <c r="D103" s="270">
        <f>SUM(D104,D112,D108)</f>
        <v>37.5</v>
      </c>
      <c r="E103" s="270">
        <f>MROUND(SUM(E104,E112,E108),0.25)</f>
        <v>60</v>
      </c>
    </row>
    <row r="104" spans="1:15" ht="13.8" outlineLevel="2">
      <c r="A104" s="135" t="s">
        <v>99</v>
      </c>
      <c r="B104" s="50">
        <f>SUM(B105:B107)</f>
        <v>20</v>
      </c>
      <c r="C104" s="50">
        <f>SUM(C105:C107)</f>
        <v>22.5</v>
      </c>
      <c r="D104" s="52">
        <f>SUM(D105:D107)</f>
        <v>37.5</v>
      </c>
      <c r="E104" s="52">
        <f>SUM(E105:E107)</f>
        <v>60</v>
      </c>
    </row>
    <row r="105" spans="1:15" ht="13.8" outlineLevel="2">
      <c r="A105" s="141" t="s">
        <v>67</v>
      </c>
      <c r="B105" s="49">
        <f>'Dtl BA_Considerations'!H47</f>
        <v>10</v>
      </c>
      <c r="C105" s="49">
        <f>'Dtl BA_Considerations'!I47</f>
        <v>12.5</v>
      </c>
      <c r="D105" s="49">
        <f>'Dtl BA_Considerations'!J47</f>
        <v>27.5</v>
      </c>
      <c r="E105" s="49">
        <f>'Dtl BA_Considerations'!K47</f>
        <v>40</v>
      </c>
    </row>
    <row r="106" spans="1:15" ht="13.8" outlineLevel="2">
      <c r="A106" s="141" t="s">
        <v>116</v>
      </c>
      <c r="B106" s="49">
        <f>'Dtl BA_Considerations'!H51</f>
        <v>10</v>
      </c>
      <c r="C106" s="49">
        <f>'Dtl BA_Considerations'!I51</f>
        <v>10</v>
      </c>
      <c r="D106" s="49">
        <f>'Dtl BA_Considerations'!J51</f>
        <v>10</v>
      </c>
      <c r="E106" s="49">
        <f>'Dtl BA_Considerations'!K51</f>
        <v>20</v>
      </c>
    </row>
    <row r="107" spans="1:15" ht="13.8" outlineLevel="2">
      <c r="A107" s="141" t="s">
        <v>69</v>
      </c>
      <c r="B107" s="49">
        <f>'Dtl BA_Considerations'!H55</f>
        <v>0</v>
      </c>
      <c r="C107" s="49">
        <f>'Dtl BA_Considerations'!I55</f>
        <v>0</v>
      </c>
      <c r="D107" s="49">
        <f>'Dtl BA_Considerations'!J55</f>
        <v>0</v>
      </c>
      <c r="E107" s="49">
        <f>'Dtl BA_Considerations'!K55</f>
        <v>0</v>
      </c>
    </row>
    <row r="108" spans="1:15" ht="13.8" outlineLevel="2">
      <c r="A108" s="135" t="s">
        <v>100</v>
      </c>
      <c r="B108" s="50">
        <f>SUM(B109:B111)</f>
        <v>0</v>
      </c>
      <c r="C108" s="50">
        <f>SUM(C109:C111)</f>
        <v>0</v>
      </c>
      <c r="D108" s="52">
        <f>SUM(D109:D111)</f>
        <v>0</v>
      </c>
      <c r="E108" s="52">
        <f>SUM(E109:E111)</f>
        <v>0</v>
      </c>
    </row>
    <row r="109" spans="1:15" ht="13.8" outlineLevel="2">
      <c r="A109" s="141" t="s">
        <v>67</v>
      </c>
      <c r="B109" s="49">
        <f>'Dtl BA_Considerations'!H48</f>
        <v>0</v>
      </c>
      <c r="C109" s="49">
        <f>'Dtl BA_Considerations'!I48</f>
        <v>0</v>
      </c>
      <c r="D109" s="49">
        <f>'Dtl BA_Considerations'!J48</f>
        <v>0</v>
      </c>
      <c r="E109" s="49">
        <f>'Dtl BA_Considerations'!K48</f>
        <v>0</v>
      </c>
    </row>
    <row r="110" spans="1:15" ht="13.8" outlineLevel="2">
      <c r="A110" s="141" t="s">
        <v>116</v>
      </c>
      <c r="B110" s="49">
        <f>'Dtl BA_Considerations'!H52</f>
        <v>0</v>
      </c>
      <c r="C110" s="49">
        <f>'Dtl BA_Considerations'!I52</f>
        <v>0</v>
      </c>
      <c r="D110" s="49">
        <f>'Dtl BA_Considerations'!J52</f>
        <v>0</v>
      </c>
      <c r="E110" s="49">
        <f>'Dtl BA_Considerations'!K52</f>
        <v>0</v>
      </c>
    </row>
    <row r="111" spans="1:15" ht="13.8" outlineLevel="2">
      <c r="A111" s="141" t="s">
        <v>69</v>
      </c>
      <c r="B111" s="49">
        <f>'Dtl BA_Considerations'!H56</f>
        <v>0</v>
      </c>
      <c r="C111" s="49">
        <f>'Dtl BA_Considerations'!I56</f>
        <v>0</v>
      </c>
      <c r="D111" s="49">
        <f>'Dtl BA_Considerations'!J56</f>
        <v>0</v>
      </c>
      <c r="E111" s="49">
        <f>'Dtl BA_Considerations'!K56</f>
        <v>0</v>
      </c>
    </row>
    <row r="112" spans="1:15" ht="13.8" outlineLevel="2">
      <c r="A112" s="135" t="s">
        <v>101</v>
      </c>
      <c r="B112" s="50">
        <f>SUM(B113:B115)</f>
        <v>0</v>
      </c>
      <c r="C112" s="50">
        <f>SUM(C113:C115)</f>
        <v>0</v>
      </c>
      <c r="D112" s="52">
        <f>SUM(D113:D115)</f>
        <v>0</v>
      </c>
      <c r="E112" s="52">
        <f>SUM(E113:E115)</f>
        <v>0</v>
      </c>
    </row>
    <row r="113" spans="1:15" ht="13.8" outlineLevel="2">
      <c r="A113" s="141" t="s">
        <v>67</v>
      </c>
      <c r="B113" s="49">
        <f>'Dtl BA_Considerations'!H49</f>
        <v>0</v>
      </c>
      <c r="C113" s="49">
        <f>'Dtl BA_Considerations'!I49</f>
        <v>0</v>
      </c>
      <c r="D113" s="49">
        <f>'Dtl BA_Considerations'!J49</f>
        <v>0</v>
      </c>
      <c r="E113" s="49">
        <f>'Dtl BA_Considerations'!K49</f>
        <v>0</v>
      </c>
    </row>
    <row r="114" spans="1:15" ht="13.8" outlineLevel="2">
      <c r="A114" s="141" t="s">
        <v>116</v>
      </c>
      <c r="B114" s="49">
        <f>'Dtl BA_Considerations'!H53</f>
        <v>0</v>
      </c>
      <c r="C114" s="49">
        <f>'Dtl BA_Considerations'!I53</f>
        <v>0</v>
      </c>
      <c r="D114" s="49">
        <f>'Dtl BA_Considerations'!J53</f>
        <v>0</v>
      </c>
      <c r="E114" s="49">
        <f>'Dtl BA_Considerations'!K53</f>
        <v>0</v>
      </c>
    </row>
    <row r="115" spans="1:15" ht="29.25" customHeight="1" outlineLevel="2">
      <c r="A115" s="141" t="s">
        <v>69</v>
      </c>
      <c r="B115" s="49">
        <f>'Dtl BA_Considerations'!H57</f>
        <v>0</v>
      </c>
      <c r="C115" s="49">
        <f>'Dtl BA_Considerations'!I57</f>
        <v>0</v>
      </c>
      <c r="D115" s="49">
        <f>'Dtl BA_Considerations'!J57</f>
        <v>0</v>
      </c>
      <c r="E115" s="49">
        <f>'Dtl BA_Considerations'!K57</f>
        <v>0</v>
      </c>
    </row>
    <row r="116" spans="1:15" s="41" customFormat="1" ht="5.25" customHeight="1" outlineLevel="1">
      <c r="A116" s="135"/>
      <c r="B116" s="135"/>
      <c r="C116" s="135"/>
      <c r="D116" s="135"/>
      <c r="E116" s="135"/>
      <c r="F116" s="136"/>
      <c r="G116" s="137"/>
      <c r="H116" s="138"/>
      <c r="I116" s="138"/>
      <c r="J116" s="40"/>
      <c r="K116" s="58"/>
      <c r="L116" s="58"/>
      <c r="M116" s="58"/>
      <c r="N116" s="58"/>
      <c r="O116" s="58"/>
    </row>
    <row r="117" spans="1:15" s="133" customFormat="1" ht="15" customHeight="1" outlineLevel="1">
      <c r="A117" s="269" t="s">
        <v>210</v>
      </c>
      <c r="B117" s="270">
        <f>SUM(B118:B120)</f>
        <v>12</v>
      </c>
      <c r="C117" s="270">
        <f>SUM(C118:C120)</f>
        <v>12</v>
      </c>
      <c r="D117" s="270">
        <f>SUM(D118:D120)</f>
        <v>0</v>
      </c>
      <c r="E117" s="270">
        <f>SUM(E118:E120)</f>
        <v>12</v>
      </c>
      <c r="F117" s="117"/>
      <c r="G117" s="118"/>
      <c r="H117" s="117"/>
      <c r="I117" s="117"/>
      <c r="L117" s="134"/>
    </row>
    <row r="118" spans="1:15" s="133" customFormat="1" ht="15" customHeight="1" outlineLevel="2">
      <c r="A118" s="141" t="s">
        <v>67</v>
      </c>
      <c r="B118" s="49">
        <f>SUMIFS('Dtl BA_Considerations'!H$62:H$62,'Dtl BA_Considerations'!$A$62:$A$62,"=New to Area")</f>
        <v>0</v>
      </c>
      <c r="C118" s="49">
        <f>SUMIFS('Dtl BA_Considerations'!I$62:I$62,'Dtl BA_Considerations'!$A$62:$A$62,"=New to Area")</f>
        <v>0</v>
      </c>
      <c r="D118" s="49">
        <f>SUMIFS('Dtl BA_Considerations'!J$62:J$62,'Dtl BA_Considerations'!$A$62:$A$62,"=New to Area")</f>
        <v>0</v>
      </c>
      <c r="E118" s="49">
        <f>SUMIFS('Dtl BA_Considerations'!K$62:K$62,'Dtl BA_Considerations'!$A$62:$A$62,"=New to Area")</f>
        <v>0</v>
      </c>
      <c r="F118" s="117"/>
      <c r="G118" s="118"/>
      <c r="H118" s="117"/>
      <c r="I118" s="117"/>
      <c r="L118" s="134"/>
    </row>
    <row r="119" spans="1:15" s="133" customFormat="1" ht="15" customHeight="1" outlineLevel="2">
      <c r="A119" s="141" t="s">
        <v>116</v>
      </c>
      <c r="B119" s="49">
        <f>SUMIFS('Dtl BA_Considerations'!H$62:H$62,'Dtl BA_Considerations'!$A$62:$A$62,"=Proficient")</f>
        <v>12</v>
      </c>
      <c r="C119" s="49">
        <f>SUMIFS('Dtl BA_Considerations'!I$62:I$62,'Dtl BA_Considerations'!$A$62:$A$62,"=Proficient")</f>
        <v>12</v>
      </c>
      <c r="D119" s="49">
        <f>SUMIFS('Dtl BA_Considerations'!J$62:J$62,'Dtl BA_Considerations'!$A$62:$A$62,"=Proficient")</f>
        <v>0</v>
      </c>
      <c r="E119" s="49">
        <f>SUMIFS('Dtl BA_Considerations'!K$62:K$62,'Dtl BA_Considerations'!$A$62:$A$62,"=Proficient")</f>
        <v>12</v>
      </c>
      <c r="F119" s="117"/>
      <c r="G119" s="118"/>
      <c r="H119" s="117"/>
      <c r="I119" s="117"/>
      <c r="L119" s="134"/>
    </row>
    <row r="120" spans="1:15" s="133" customFormat="1" ht="15" customHeight="1" outlineLevel="2">
      <c r="A120" s="141" t="s">
        <v>69</v>
      </c>
      <c r="B120" s="49">
        <f>SUMIFS('Dtl BA_Considerations'!H$62:H$62,'Dtl BA_Considerations'!$A$62:$A$62,"=Expert")</f>
        <v>0</v>
      </c>
      <c r="C120" s="49">
        <f>SUMIFS('Dtl BA_Considerations'!I$62:I$62,'Dtl BA_Considerations'!$A$62:$A$62,"=Expert")</f>
        <v>0</v>
      </c>
      <c r="D120" s="49">
        <f>SUMIFS('Dtl BA_Considerations'!J$62:J$62,'Dtl BA_Considerations'!$A$62:$A$62,"=Expert")</f>
        <v>0</v>
      </c>
      <c r="E120" s="49">
        <f>SUMIFS('Dtl BA_Considerations'!K$62:K$62,'Dtl BA_Considerations'!$A$62:$A$62,"=Expert")</f>
        <v>0</v>
      </c>
      <c r="F120" s="117"/>
      <c r="G120" s="118"/>
      <c r="H120" s="117"/>
      <c r="I120" s="117"/>
      <c r="L120" s="134"/>
    </row>
    <row r="121" spans="1:15" s="41" customFormat="1" ht="18" customHeight="1">
      <c r="A121" s="147"/>
      <c r="B121" s="147"/>
      <c r="C121" s="147"/>
      <c r="D121" s="147"/>
      <c r="E121" s="147"/>
      <c r="F121" s="136"/>
      <c r="G121" s="137"/>
      <c r="H121" s="138"/>
      <c r="I121" s="138"/>
      <c r="J121" s="40"/>
      <c r="K121" s="58"/>
      <c r="L121" s="58"/>
      <c r="M121" s="58"/>
      <c r="N121" s="58"/>
      <c r="O121" s="58"/>
    </row>
    <row r="122" spans="1:15" s="41" customFormat="1" ht="18" customHeight="1">
      <c r="A122" s="147"/>
      <c r="B122" s="147"/>
      <c r="C122" s="147"/>
      <c r="D122" s="147"/>
      <c r="E122" s="147"/>
      <c r="F122" s="136"/>
      <c r="G122" s="137"/>
      <c r="H122" s="138"/>
      <c r="I122" s="138"/>
      <c r="J122" s="40"/>
      <c r="K122" s="58"/>
      <c r="L122" s="58"/>
      <c r="M122" s="58"/>
      <c r="N122" s="58"/>
      <c r="O122" s="58"/>
    </row>
    <row r="123" spans="1:15" ht="17.399999999999999">
      <c r="A123" s="220" t="s">
        <v>118</v>
      </c>
      <c r="B123" s="231">
        <f>'Dtl Collaboration_Quality'!H12</f>
        <v>360.4</v>
      </c>
      <c r="C123" s="231">
        <f>'Dtl Collaboration_Quality'!I12</f>
        <v>353.9</v>
      </c>
      <c r="D123" s="231">
        <f>'Dtl Collaboration_Quality'!J12</f>
        <v>0</v>
      </c>
      <c r="E123" s="231">
        <f>'Dtl Collaboration_Quality'!K12</f>
        <v>353.9</v>
      </c>
    </row>
    <row r="124" spans="1:15" ht="18" customHeight="1"/>
  </sheetData>
  <sheetProtection algorithmName="SHA-512" hashValue="EBuR/F2tQGhs7K53Qza2N76fWz43iACMIuOzbacTwZ7/21/K4Qy6JCybQasIneCdWzTHA27Gx9/vCXpUr99vZg==" saltValue="ZdUXTAK6Vcuv31KXn6nj9A==" spinCount="100000" sheet="1" selectLockedCells="1"/>
  <protectedRanges>
    <protectedRange algorithmName="SHA-512" hashValue="H1NFzjvhRGDGqAFsU7+pZxrqzLNAYS7HH2PlHFpCTo7/QsUVIon12U6CFtxErMVFYnXqVX4Kq+yRLqGyXaQgnw==" saltValue="SALr9iWJo70UfbeE6JvMSg==" spinCount="100000" sqref="A12:F124"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6">
    <mergeCell ref="B40:E40"/>
    <mergeCell ref="B2:F2"/>
    <mergeCell ref="B12:F23"/>
    <mergeCell ref="B25:F36"/>
    <mergeCell ref="B38:E38"/>
    <mergeCell ref="B39:E39"/>
  </mergeCells>
  <pageMargins left="0.25" right="0.25" top="0.5" bottom="0.5" header="0.3" footer="0.3"/>
  <pageSetup scale="83" fitToHeight="0" orientation="landscape" r:id="rId1"/>
  <headerFooter alignWithMargins="0">
    <oddHeader>&amp;LExisting Module Estimate Documentation&amp;RPA PROMISeTM</oddHeader>
    <oddFooter>&amp;L&amp;D
&amp;F&amp;RPage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05"/>
  <sheetViews>
    <sheetView topLeftCell="A53" zoomScaleNormal="100" workbookViewId="0">
      <selection activeCell="B83" sqref="B83"/>
    </sheetView>
  </sheetViews>
  <sheetFormatPr defaultColWidth="24.44140625" defaultRowHeight="13.2"/>
  <cols>
    <col min="1" max="1" width="37.44140625" style="117" customWidth="1"/>
    <col min="2" max="2" width="59.44140625" style="117" customWidth="1"/>
    <col min="3" max="3" width="15.44140625" style="117" bestFit="1" customWidth="1"/>
    <col min="4" max="4" width="9.44140625" style="117" customWidth="1"/>
    <col min="5" max="5" width="12.44140625" style="117" customWidth="1"/>
    <col min="6" max="6" width="11.44140625" style="117" customWidth="1"/>
    <col min="7" max="7" width="14.44140625" style="117" customWidth="1"/>
    <col min="8" max="8" width="11.44140625" style="117" bestFit="1" customWidth="1"/>
    <col min="9" max="9" width="11" style="117" bestFit="1" customWidth="1"/>
    <col min="10" max="10" width="13.44140625" style="117" bestFit="1" customWidth="1"/>
    <col min="11" max="11" width="24.44140625" style="117"/>
    <col min="12" max="12" width="16.44140625" style="156" customWidth="1"/>
    <col min="13" max="16384" width="24.44140625" style="117"/>
  </cols>
  <sheetData>
    <row r="1" spans="1:17">
      <c r="A1" s="35" t="str">
        <f>InitialEstimate!A1</f>
        <v>Template Version:</v>
      </c>
      <c r="B1" s="311">
        <f>InitialEstimate!B1</f>
        <v>2.8</v>
      </c>
    </row>
    <row r="2" spans="1:17" ht="28.5" customHeight="1">
      <c r="A2" s="223" t="s">
        <v>102</v>
      </c>
      <c r="B2" s="262"/>
    </row>
    <row r="4" spans="1:17" s="41" customFormat="1" ht="21">
      <c r="A4" s="223" t="s">
        <v>22</v>
      </c>
      <c r="B4" s="121" t="str">
        <f>InitialEstimate!F3</f>
        <v>23810 002</v>
      </c>
      <c r="C4" s="117"/>
      <c r="D4" s="117"/>
      <c r="E4" s="117"/>
      <c r="F4" s="117"/>
      <c r="I4" s="40"/>
      <c r="J4" s="40"/>
      <c r="K4" s="40"/>
      <c r="L4" s="54"/>
      <c r="O4" s="42"/>
      <c r="P4" s="42"/>
      <c r="Q4" s="122"/>
    </row>
    <row r="5" spans="1:17" s="41" customFormat="1" ht="42" customHeight="1">
      <c r="A5" s="46" t="s">
        <v>20</v>
      </c>
      <c r="B5" s="397" t="s">
        <v>248</v>
      </c>
      <c r="C5" s="397"/>
      <c r="D5" s="397"/>
      <c r="E5" s="397"/>
      <c r="F5" s="397"/>
      <c r="G5" s="54"/>
      <c r="H5" s="54"/>
      <c r="I5" s="54"/>
      <c r="J5" s="54"/>
      <c r="K5" s="54"/>
      <c r="L5" s="54"/>
      <c r="M5" s="54"/>
    </row>
    <row r="6" spans="1:17" s="41" customFormat="1" ht="13.8">
      <c r="A6" s="46" t="s">
        <v>47</v>
      </c>
      <c r="B6" s="258" t="s">
        <v>399</v>
      </c>
      <c r="C6" s="117"/>
      <c r="E6" s="35"/>
      <c r="F6" s="35"/>
      <c r="G6" s="157"/>
      <c r="H6" s="54"/>
      <c r="I6" s="55"/>
      <c r="J6" s="54"/>
      <c r="K6" s="40"/>
      <c r="L6" s="54"/>
    </row>
    <row r="7" spans="1:17">
      <c r="A7" s="156"/>
      <c r="B7" s="156"/>
    </row>
    <row r="8" spans="1:17" s="158" customFormat="1" ht="50.25" customHeight="1">
      <c r="A8" s="225" t="s">
        <v>68</v>
      </c>
      <c r="B8" s="225" t="s">
        <v>5</v>
      </c>
      <c r="C8" s="225" t="s">
        <v>65</v>
      </c>
      <c r="D8" s="225" t="s">
        <v>62</v>
      </c>
      <c r="E8" s="225" t="s">
        <v>63</v>
      </c>
      <c r="F8" s="225" t="s">
        <v>64</v>
      </c>
      <c r="G8" s="225" t="s">
        <v>94</v>
      </c>
      <c r="H8" s="225" t="s">
        <v>79</v>
      </c>
      <c r="I8" s="225" t="s">
        <v>80</v>
      </c>
      <c r="J8" s="225" t="s">
        <v>81</v>
      </c>
      <c r="L8" s="267" t="s">
        <v>108</v>
      </c>
    </row>
    <row r="9" spans="1:17" s="41" customFormat="1" ht="25.5" customHeight="1">
      <c r="A9" s="315" t="s">
        <v>279</v>
      </c>
      <c r="B9" s="135"/>
      <c r="C9" s="160"/>
      <c r="D9" s="160"/>
      <c r="E9" s="160"/>
      <c r="F9" s="160"/>
      <c r="G9" s="161"/>
      <c r="H9" s="161"/>
      <c r="I9" s="162"/>
      <c r="J9" s="300">
        <f>MROUND(SUM(J11+J90),0.25)</f>
        <v>515</v>
      </c>
      <c r="K9" s="158"/>
      <c r="L9" s="56"/>
      <c r="M9" s="58"/>
      <c r="N9" s="58"/>
      <c r="O9" s="58"/>
      <c r="P9" s="58"/>
      <c r="Q9" s="58"/>
    </row>
    <row r="10" spans="1:17" s="41" customFormat="1" ht="9" customHeight="1">
      <c r="A10" s="159"/>
      <c r="B10" s="135"/>
      <c r="C10" s="160"/>
      <c r="D10" s="160"/>
      <c r="E10" s="160"/>
      <c r="F10" s="160"/>
      <c r="G10" s="161"/>
      <c r="H10" s="161"/>
      <c r="I10" s="162"/>
      <c r="J10" s="162"/>
      <c r="K10" s="158"/>
      <c r="L10" s="56"/>
      <c r="M10" s="58"/>
      <c r="N10" s="58"/>
      <c r="O10" s="58"/>
      <c r="P10" s="58"/>
      <c r="Q10" s="58"/>
    </row>
    <row r="11" spans="1:17" s="158" customFormat="1" ht="22.65" customHeight="1">
      <c r="A11" s="315" t="s">
        <v>258</v>
      </c>
      <c r="B11" s="441" t="s">
        <v>95</v>
      </c>
      <c r="C11" s="441"/>
      <c r="D11" s="441"/>
      <c r="E11" s="441"/>
      <c r="F11" s="441"/>
      <c r="G11" s="300">
        <f>MROUND(SUM(G12,G26,G35,G42,G47,G52,G58,G65, G70, G75,G80),0.25)</f>
        <v>540.25</v>
      </c>
      <c r="H11" s="300">
        <f>MROUND(SUM(H12,H26,H35,H42,H47,H52,H58,H65, H70, H75,H80),0.25)</f>
        <v>515.75</v>
      </c>
      <c r="I11" s="300" t="e">
        <f>IF(MROUND(SUM(I12,I26,I35,I42,I47,I52,I58,I65,I70,I75,I80),0.25)&lt;0,((MROUND(SUM(I12,I26,I35,I42,I47,I52,I58,I65,I70,I75,I80),0.25))*-1)*-1,MROUND(SUM(I12,I26,I35,I42,I47,I52,I58,I65,I70,I75,I80),0.25))</f>
        <v>#NUM!</v>
      </c>
      <c r="J11" s="300">
        <f>IF(MROUND(SUM(J12,J26,J35,J42,J47,J52,J58,J65,J70,J75,J80),0.25)&lt;0,((MROUND(SUM(J12,J26,J35,J42,J47,J52,J58,J65,J70,J75,J80),0.25))*-1)*-1,MROUND(SUM(J12,J26,J35,J42,J47,J52,J58,J65,J70,J75,J80),0.25))</f>
        <v>509</v>
      </c>
      <c r="K11" s="163"/>
      <c r="L11" s="375"/>
    </row>
    <row r="12" spans="1:17" s="41" customFormat="1" ht="21.75" customHeight="1">
      <c r="A12" s="442" t="s">
        <v>207</v>
      </c>
      <c r="B12" s="443"/>
      <c r="C12" s="443"/>
      <c r="D12" s="164">
        <f t="shared" ref="D12:J12" si="0">SUM(D13:D24)</f>
        <v>1</v>
      </c>
      <c r="E12" s="164">
        <f t="shared" si="0"/>
        <v>1</v>
      </c>
      <c r="F12" s="164">
        <f t="shared" si="0"/>
        <v>0</v>
      </c>
      <c r="G12" s="164">
        <f t="shared" si="0"/>
        <v>65.25</v>
      </c>
      <c r="H12" s="164">
        <f t="shared" si="0"/>
        <v>77.375</v>
      </c>
      <c r="I12" s="164">
        <f t="shared" si="0"/>
        <v>-6.75</v>
      </c>
      <c r="J12" s="374">
        <f t="shared" si="0"/>
        <v>70.625</v>
      </c>
      <c r="K12" s="117"/>
      <c r="L12" s="376"/>
      <c r="M12" s="58"/>
      <c r="N12" s="58"/>
      <c r="O12" s="58"/>
      <c r="P12" s="58"/>
      <c r="Q12" s="58"/>
    </row>
    <row r="13" spans="1:17" s="343" customFormat="1" ht="20.25" customHeight="1">
      <c r="A13" s="252" t="s">
        <v>67</v>
      </c>
      <c r="B13" s="252" t="s">
        <v>251</v>
      </c>
      <c r="C13" s="249" t="s">
        <v>19</v>
      </c>
      <c r="D13" s="254">
        <v>0</v>
      </c>
      <c r="E13" s="254">
        <v>1</v>
      </c>
      <c r="F13" s="254">
        <v>0</v>
      </c>
      <c r="G13" s="369">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48.5</v>
      </c>
      <c r="H13" s="369">
        <f>VLOOKUP($A13,DetailedEstWeightedValues!$A$112:$B$115,2,FALSE) * G13</f>
        <v>60.625</v>
      </c>
      <c r="I13" s="254">
        <v>0</v>
      </c>
      <c r="J13" s="369">
        <f t="shared" ref="J13:J23" si="1">SUM(H13:I13)</f>
        <v>60.625</v>
      </c>
      <c r="K13" s="396" t="s">
        <v>406</v>
      </c>
      <c r="L13" s="257" t="s">
        <v>411</v>
      </c>
    </row>
    <row r="14" spans="1:17" s="343" customFormat="1" ht="20.25" customHeight="1">
      <c r="A14" s="257" t="s">
        <v>116</v>
      </c>
      <c r="B14" s="257" t="s">
        <v>252</v>
      </c>
      <c r="C14" s="257" t="s">
        <v>19</v>
      </c>
      <c r="D14" s="254">
        <v>1</v>
      </c>
      <c r="E14" s="254">
        <v>0</v>
      </c>
      <c r="F14" s="254">
        <v>0</v>
      </c>
      <c r="G14" s="369">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16.75</v>
      </c>
      <c r="H14" s="369">
        <f>VLOOKUP($A14,DetailedEstWeightedValues!$A$112:$B$115,2,FALSE) * G14</f>
        <v>16.75</v>
      </c>
      <c r="I14" s="254">
        <v>-6.75</v>
      </c>
      <c r="J14" s="369">
        <f t="shared" si="1"/>
        <v>10</v>
      </c>
      <c r="K14" s="343" t="s">
        <v>407</v>
      </c>
      <c r="L14" s="257" t="s">
        <v>412</v>
      </c>
    </row>
    <row r="15" spans="1:17" s="343" customFormat="1" ht="20.25" customHeight="1">
      <c r="A15" s="257" t="s">
        <v>116</v>
      </c>
      <c r="B15" s="257" t="s">
        <v>260</v>
      </c>
      <c r="C15" s="257" t="s">
        <v>0</v>
      </c>
      <c r="D15" s="254">
        <v>0</v>
      </c>
      <c r="E15" s="254">
        <v>0</v>
      </c>
      <c r="F15" s="254">
        <v>0</v>
      </c>
      <c r="G15" s="369">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69">
        <f>VLOOKUP($A15,DetailedEstWeightedValues!$A$112:$B$115,2,FALSE) * G15</f>
        <v>0</v>
      </c>
      <c r="I15" s="254">
        <v>0</v>
      </c>
      <c r="J15" s="369">
        <f t="shared" si="1"/>
        <v>0</v>
      </c>
      <c r="L15" s="257"/>
    </row>
    <row r="16" spans="1:17" s="343" customFormat="1" ht="20.25" customHeight="1">
      <c r="A16" s="257" t="s">
        <v>116</v>
      </c>
      <c r="B16" s="257" t="s">
        <v>289</v>
      </c>
      <c r="C16" s="257" t="s">
        <v>0</v>
      </c>
      <c r="D16" s="254">
        <v>0</v>
      </c>
      <c r="E16" s="254">
        <v>0</v>
      </c>
      <c r="F16" s="254">
        <v>0</v>
      </c>
      <c r="G16" s="369">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69">
        <f>VLOOKUP($A16,DetailedEstWeightedValues!$A$112:$B$115,2,FALSE) * G16</f>
        <v>0</v>
      </c>
      <c r="I16" s="254">
        <v>0</v>
      </c>
      <c r="J16" s="369">
        <f t="shared" si="1"/>
        <v>0</v>
      </c>
      <c r="L16" s="257"/>
    </row>
    <row r="17" spans="1:17" s="343" customFormat="1" ht="20.25" customHeight="1">
      <c r="A17" s="257" t="s">
        <v>116</v>
      </c>
      <c r="B17" s="257"/>
      <c r="C17" s="257" t="s">
        <v>0</v>
      </c>
      <c r="D17" s="254">
        <v>0</v>
      </c>
      <c r="E17" s="254">
        <v>0</v>
      </c>
      <c r="F17" s="254">
        <v>0</v>
      </c>
      <c r="G17" s="369">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69">
        <f>VLOOKUP($A17,DetailedEstWeightedValues!$A$112:$B$115,2,FALSE) * G17</f>
        <v>0</v>
      </c>
      <c r="I17" s="254">
        <v>0</v>
      </c>
      <c r="J17" s="369">
        <f t="shared" si="1"/>
        <v>0</v>
      </c>
      <c r="L17" s="257"/>
    </row>
    <row r="18" spans="1:17" s="343" customFormat="1" ht="20.25" customHeight="1">
      <c r="A18" s="257" t="s">
        <v>226</v>
      </c>
      <c r="B18" s="257"/>
      <c r="C18" s="257" t="s">
        <v>0</v>
      </c>
      <c r="D18" s="253">
        <v>0</v>
      </c>
      <c r="E18" s="253">
        <v>0</v>
      </c>
      <c r="F18" s="253">
        <v>0</v>
      </c>
      <c r="G18" s="369">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69">
        <f>VLOOKUP($A18,DetailedEstWeightedValues!$A$112:$B$115,2,FALSE) * G18</f>
        <v>0</v>
      </c>
      <c r="I18" s="254">
        <v>0</v>
      </c>
      <c r="J18" s="369">
        <f t="shared" si="1"/>
        <v>0</v>
      </c>
      <c r="L18" s="257"/>
    </row>
    <row r="19" spans="1:17" s="343" customFormat="1" ht="20.25" customHeight="1">
      <c r="A19" s="257" t="s">
        <v>67</v>
      </c>
      <c r="B19" s="257"/>
      <c r="C19" s="257" t="s">
        <v>0</v>
      </c>
      <c r="D19" s="253">
        <v>0</v>
      </c>
      <c r="E19" s="253">
        <v>0</v>
      </c>
      <c r="F19" s="253">
        <v>0</v>
      </c>
      <c r="G19" s="369">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69">
        <f>VLOOKUP($A19,DetailedEstWeightedValues!$A$112:$B$115,2,FALSE) * G19</f>
        <v>0</v>
      </c>
      <c r="I19" s="254">
        <v>0</v>
      </c>
      <c r="J19" s="369">
        <f t="shared" si="1"/>
        <v>0</v>
      </c>
      <c r="L19" s="257"/>
    </row>
    <row r="20" spans="1:17" s="343" customFormat="1" ht="20.25" customHeight="1">
      <c r="A20" s="257" t="s">
        <v>226</v>
      </c>
      <c r="B20" s="257"/>
      <c r="C20" s="257" t="s">
        <v>0</v>
      </c>
      <c r="D20" s="253">
        <v>0</v>
      </c>
      <c r="E20" s="253">
        <v>0</v>
      </c>
      <c r="F20" s="253">
        <v>0</v>
      </c>
      <c r="G20" s="369">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69">
        <f>VLOOKUP($A20,DetailedEstWeightedValues!$A$112:$B$115,2,FALSE) * G20</f>
        <v>0</v>
      </c>
      <c r="I20" s="254">
        <v>0</v>
      </c>
      <c r="J20" s="369">
        <f t="shared" si="1"/>
        <v>0</v>
      </c>
      <c r="L20" s="257"/>
    </row>
    <row r="21" spans="1:17" s="343" customFormat="1" ht="20.25" customHeight="1">
      <c r="A21" s="257" t="s">
        <v>226</v>
      </c>
      <c r="B21" s="257"/>
      <c r="C21" s="257" t="s">
        <v>0</v>
      </c>
      <c r="D21" s="253">
        <v>0</v>
      </c>
      <c r="E21" s="253">
        <v>0</v>
      </c>
      <c r="F21" s="253">
        <v>0</v>
      </c>
      <c r="G21" s="369">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69">
        <f>VLOOKUP($A21,DetailedEstWeightedValues!$A$112:$B$115,2,FALSE) * G21</f>
        <v>0</v>
      </c>
      <c r="I21" s="254">
        <v>0</v>
      </c>
      <c r="J21" s="369">
        <f t="shared" si="1"/>
        <v>0</v>
      </c>
      <c r="L21" s="257"/>
    </row>
    <row r="22" spans="1:17" s="343" customFormat="1" ht="20.25" customHeight="1">
      <c r="A22" s="257" t="s">
        <v>226</v>
      </c>
      <c r="B22" s="257"/>
      <c r="C22" s="257" t="s">
        <v>0</v>
      </c>
      <c r="D22" s="253">
        <v>0</v>
      </c>
      <c r="E22" s="253">
        <v>0</v>
      </c>
      <c r="F22" s="253">
        <v>0</v>
      </c>
      <c r="G22" s="369">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69">
        <f>VLOOKUP($A22,DetailedEstWeightedValues!$A$112:$B$115,2,FALSE) * G22</f>
        <v>0</v>
      </c>
      <c r="I22" s="254">
        <v>0</v>
      </c>
      <c r="J22" s="369">
        <f t="shared" si="1"/>
        <v>0</v>
      </c>
      <c r="L22" s="257"/>
    </row>
    <row r="23" spans="1:17" s="343" customFormat="1" ht="20.25" customHeight="1">
      <c r="A23" s="249" t="s">
        <v>226</v>
      </c>
      <c r="B23" s="249"/>
      <c r="C23" s="249" t="s">
        <v>0</v>
      </c>
      <c r="D23" s="254">
        <v>0</v>
      </c>
      <c r="E23" s="254">
        <v>0</v>
      </c>
      <c r="F23" s="254">
        <v>0</v>
      </c>
      <c r="G23" s="165">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5">
        <f>VLOOKUP($A23,DetailedEstWeightedValues!$A$112:$B$115,2,FALSE) * G23</f>
        <v>0</v>
      </c>
      <c r="I23" s="254">
        <v>0</v>
      </c>
      <c r="J23" s="165">
        <f t="shared" si="1"/>
        <v>0</v>
      </c>
      <c r="L23" s="249"/>
    </row>
    <row r="24" spans="1:17" s="343" customFormat="1" ht="20.25" customHeight="1">
      <c r="A24" s="166"/>
      <c r="B24" s="166"/>
      <c r="C24" s="169"/>
      <c r="D24" s="167"/>
      <c r="E24" s="167"/>
      <c r="F24" s="167"/>
      <c r="G24" s="169"/>
      <c r="H24" s="169"/>
      <c r="I24" s="169"/>
      <c r="J24" s="344"/>
      <c r="L24" s="171"/>
    </row>
    <row r="25" spans="1:17" ht="20.25" customHeight="1">
      <c r="A25" s="334"/>
      <c r="B25" s="166"/>
      <c r="C25" s="169"/>
      <c r="D25" s="174"/>
      <c r="E25" s="174"/>
      <c r="F25" s="174"/>
      <c r="G25" s="175"/>
      <c r="H25" s="175"/>
      <c r="I25" s="176"/>
      <c r="J25" s="177"/>
      <c r="L25" s="171"/>
    </row>
    <row r="26" spans="1:17" s="41" customFormat="1" ht="20.25" customHeight="1">
      <c r="A26" s="444" t="s">
        <v>46</v>
      </c>
      <c r="B26" s="445"/>
      <c r="C26" s="445"/>
      <c r="D26" s="178">
        <f t="shared" ref="D26:J26" si="2">SUM(D27:D33)</f>
        <v>0</v>
      </c>
      <c r="E26" s="178">
        <f t="shared" si="2"/>
        <v>0</v>
      </c>
      <c r="F26" s="178">
        <f t="shared" si="2"/>
        <v>0</v>
      </c>
      <c r="G26" s="178">
        <f t="shared" si="2"/>
        <v>0</v>
      </c>
      <c r="H26" s="178">
        <f t="shared" si="2"/>
        <v>0</v>
      </c>
      <c r="I26" s="178">
        <f t="shared" si="2"/>
        <v>0</v>
      </c>
      <c r="J26" s="374">
        <f t="shared" si="2"/>
        <v>0</v>
      </c>
      <c r="K26" s="117"/>
      <c r="L26" s="117"/>
      <c r="M26" s="58"/>
      <c r="N26" s="58"/>
      <c r="O26" s="58"/>
      <c r="P26" s="58"/>
      <c r="Q26" s="58"/>
    </row>
    <row r="27" spans="1:17" s="343" customFormat="1" ht="20.25" customHeight="1">
      <c r="A27" s="255" t="s">
        <v>116</v>
      </c>
      <c r="B27" s="255" t="s">
        <v>261</v>
      </c>
      <c r="C27" s="255" t="s">
        <v>19</v>
      </c>
      <c r="D27" s="254">
        <v>0</v>
      </c>
      <c r="E27" s="254">
        <v>0</v>
      </c>
      <c r="F27" s="254">
        <v>0</v>
      </c>
      <c r="G27" s="369">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69">
        <f>VLOOKUP($A27,DetailedEstWeightedValues!$A$112:$B$115,2,FALSE) * G27</f>
        <v>0</v>
      </c>
      <c r="I27" s="254">
        <v>0</v>
      </c>
      <c r="J27" s="369">
        <f t="shared" ref="J27:J32" si="3">SUM(H27:I27)</f>
        <v>0</v>
      </c>
      <c r="L27" s="249"/>
    </row>
    <row r="28" spans="1:17" s="343" customFormat="1" ht="20.25" customHeight="1">
      <c r="A28" s="255" t="s">
        <v>67</v>
      </c>
      <c r="B28" s="255" t="s">
        <v>262</v>
      </c>
      <c r="C28" s="255" t="s">
        <v>19</v>
      </c>
      <c r="D28" s="254">
        <v>0</v>
      </c>
      <c r="E28" s="254">
        <v>0</v>
      </c>
      <c r="F28" s="254">
        <v>0</v>
      </c>
      <c r="G28" s="369">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69">
        <f>VLOOKUP($A28,DetailedEstWeightedValues!$A$112:$B$115,2,FALSE) * G28</f>
        <v>0</v>
      </c>
      <c r="I28" s="254">
        <v>0</v>
      </c>
      <c r="J28" s="369">
        <f t="shared" si="3"/>
        <v>0</v>
      </c>
      <c r="L28" s="249"/>
    </row>
    <row r="29" spans="1:17" s="343" customFormat="1" ht="20.25" customHeight="1">
      <c r="A29" s="255" t="s">
        <v>116</v>
      </c>
      <c r="B29" s="255" t="s">
        <v>263</v>
      </c>
      <c r="C29" s="255" t="s">
        <v>19</v>
      </c>
      <c r="D29" s="254">
        <v>0</v>
      </c>
      <c r="E29" s="254">
        <v>0</v>
      </c>
      <c r="F29" s="254">
        <v>0</v>
      </c>
      <c r="G29" s="369">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69">
        <f>VLOOKUP($A29,DetailedEstWeightedValues!$A$112:$B$115,2,FALSE) * G29</f>
        <v>0</v>
      </c>
      <c r="I29" s="254">
        <v>0</v>
      </c>
      <c r="J29" s="369">
        <f t="shared" si="3"/>
        <v>0</v>
      </c>
      <c r="L29" s="249"/>
    </row>
    <row r="30" spans="1:17" s="343" customFormat="1" ht="20.25" customHeight="1">
      <c r="A30" s="255" t="s">
        <v>67</v>
      </c>
      <c r="B30" s="255" t="s">
        <v>290</v>
      </c>
      <c r="C30" s="255" t="s">
        <v>19</v>
      </c>
      <c r="D30" s="254">
        <v>0</v>
      </c>
      <c r="E30" s="254">
        <v>0</v>
      </c>
      <c r="F30" s="254">
        <v>0</v>
      </c>
      <c r="G30" s="369">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69">
        <f>VLOOKUP($A30,DetailedEstWeightedValues!$A$112:$B$115,2,FALSE) * G30</f>
        <v>0</v>
      </c>
      <c r="I30" s="254">
        <v>0</v>
      </c>
      <c r="J30" s="369">
        <f t="shared" si="3"/>
        <v>0</v>
      </c>
      <c r="L30" s="249"/>
    </row>
    <row r="31" spans="1:17" s="343" customFormat="1" ht="20.25" customHeight="1">
      <c r="A31" s="255" t="s">
        <v>116</v>
      </c>
      <c r="B31" s="255" t="s">
        <v>291</v>
      </c>
      <c r="C31" s="255" t="s">
        <v>0</v>
      </c>
      <c r="D31" s="254">
        <v>0</v>
      </c>
      <c r="E31" s="254">
        <v>0</v>
      </c>
      <c r="F31" s="254">
        <v>0</v>
      </c>
      <c r="G31" s="369">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69">
        <f>VLOOKUP($A31,DetailedEstWeightedValues!$A$112:$B$115,2,FALSE) * G31</f>
        <v>0</v>
      </c>
      <c r="I31" s="254">
        <v>0</v>
      </c>
      <c r="J31" s="369">
        <f t="shared" si="3"/>
        <v>0</v>
      </c>
      <c r="L31" s="249"/>
    </row>
    <row r="32" spans="1:17" s="343" customFormat="1" ht="20.25" customHeight="1">
      <c r="A32" s="256" t="s">
        <v>69</v>
      </c>
      <c r="B32" s="256" t="s">
        <v>292</v>
      </c>
      <c r="C32" s="256" t="s">
        <v>0</v>
      </c>
      <c r="D32" s="254">
        <v>0</v>
      </c>
      <c r="E32" s="254">
        <v>0</v>
      </c>
      <c r="F32" s="254">
        <v>0</v>
      </c>
      <c r="G32" s="165">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5">
        <f>VLOOKUP($A32,DetailedEstWeightedValues!$A$112:$B$115,2,FALSE) * G32</f>
        <v>0</v>
      </c>
      <c r="I32" s="254">
        <v>0</v>
      </c>
      <c r="J32" s="165">
        <f t="shared" si="3"/>
        <v>0</v>
      </c>
      <c r="L32" s="249"/>
    </row>
    <row r="33" spans="1:17" s="343" customFormat="1" ht="20.25" customHeight="1">
      <c r="A33" s="166"/>
      <c r="B33" s="166"/>
      <c r="C33" s="166"/>
      <c r="D33" s="167"/>
      <c r="E33" s="167"/>
      <c r="F33" s="167"/>
      <c r="G33" s="169"/>
      <c r="H33" s="169"/>
      <c r="I33" s="169"/>
      <c r="J33" s="344"/>
      <c r="L33" s="171"/>
    </row>
    <row r="34" spans="1:17" ht="20.25" customHeight="1">
      <c r="A34" s="172"/>
      <c r="B34" s="173"/>
      <c r="C34" s="173"/>
      <c r="D34" s="174"/>
      <c r="E34" s="174"/>
      <c r="F34" s="174"/>
      <c r="G34" s="175"/>
      <c r="H34" s="175"/>
      <c r="I34" s="176"/>
      <c r="J34" s="177"/>
      <c r="L34" s="171"/>
    </row>
    <row r="35" spans="1:17" s="41" customFormat="1" ht="20.25" customHeight="1">
      <c r="A35" s="444" t="s">
        <v>153</v>
      </c>
      <c r="B35" s="445"/>
      <c r="C35" s="445"/>
      <c r="D35" s="178">
        <f>SUM(D36:D40)</f>
        <v>2.5</v>
      </c>
      <c r="E35" s="178">
        <f t="shared" ref="E35:J35" si="4">SUM(E36:E40)</f>
        <v>1</v>
      </c>
      <c r="F35" s="178">
        <f t="shared" si="4"/>
        <v>0</v>
      </c>
      <c r="G35" s="178">
        <f t="shared" si="4"/>
        <v>147.25</v>
      </c>
      <c r="H35" s="178">
        <f t="shared" si="4"/>
        <v>147.25</v>
      </c>
      <c r="I35" s="178">
        <f t="shared" si="4"/>
        <v>0</v>
      </c>
      <c r="J35" s="374">
        <f t="shared" si="4"/>
        <v>147.25</v>
      </c>
      <c r="K35" s="117"/>
      <c r="L35" s="117"/>
      <c r="M35" s="58"/>
      <c r="N35" s="58"/>
      <c r="O35" s="58"/>
      <c r="P35" s="58"/>
      <c r="Q35" s="58"/>
    </row>
    <row r="36" spans="1:17" s="343" customFormat="1" ht="20.25" customHeight="1">
      <c r="A36" s="257" t="s">
        <v>116</v>
      </c>
      <c r="B36" s="257" t="s">
        <v>388</v>
      </c>
      <c r="C36" s="257" t="s">
        <v>19</v>
      </c>
      <c r="D36" s="249">
        <v>0</v>
      </c>
      <c r="E36" s="253">
        <v>1</v>
      </c>
      <c r="F36" s="257"/>
      <c r="G36" s="370">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73.5</v>
      </c>
      <c r="H36" s="370">
        <f>VLOOKUP($A36,DetailedEstWeightedValues!$A$112:$B$115,2,FALSE) * G36</f>
        <v>73.5</v>
      </c>
      <c r="I36" s="254">
        <v>0</v>
      </c>
      <c r="J36" s="370">
        <f t="shared" ref="J36:J39" si="5">SUM(H36:I36)</f>
        <v>73.5</v>
      </c>
      <c r="K36" s="343" t="s">
        <v>392</v>
      </c>
      <c r="L36" s="257" t="s">
        <v>413</v>
      </c>
    </row>
    <row r="37" spans="1:17" s="343" customFormat="1" ht="20.25" customHeight="1">
      <c r="A37" s="257" t="s">
        <v>116</v>
      </c>
      <c r="B37" s="257" t="s">
        <v>389</v>
      </c>
      <c r="C37" s="257" t="s">
        <v>19</v>
      </c>
      <c r="D37" s="257">
        <v>1</v>
      </c>
      <c r="E37" s="253">
        <v>0</v>
      </c>
      <c r="F37" s="257">
        <v>0</v>
      </c>
      <c r="G37" s="369">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29.5</v>
      </c>
      <c r="H37" s="369">
        <f>VLOOKUP($A37,DetailedEstWeightedValues!$A$112:$B$115,2,FALSE) * G37</f>
        <v>29.5</v>
      </c>
      <c r="I37" s="253">
        <v>0</v>
      </c>
      <c r="J37" s="369">
        <f t="shared" si="5"/>
        <v>29.5</v>
      </c>
      <c r="K37" s="343" t="s">
        <v>392</v>
      </c>
      <c r="L37" s="257" t="s">
        <v>413</v>
      </c>
    </row>
    <row r="38" spans="1:17" s="343" customFormat="1" ht="20.25" customHeight="1">
      <c r="A38" s="257" t="s">
        <v>116</v>
      </c>
      <c r="B38" s="257" t="s">
        <v>390</v>
      </c>
      <c r="C38" s="257" t="s">
        <v>19</v>
      </c>
      <c r="D38" s="257">
        <v>1</v>
      </c>
      <c r="E38" s="253">
        <v>0</v>
      </c>
      <c r="F38" s="257">
        <v>0</v>
      </c>
      <c r="G38" s="369">
        <f>IF(C38="New",('Dtl SE_ModuleDoco'!$D38*DetailedEstWeightedValues!$B$38)+('Dtl SE_ModuleDoco'!$E38*DetailedEstWeightedValues!$C$38)+('Dtl SE_ModuleDoco'!$F38*DetailedEstWeightedValues!$D$38),('Dtl SE_ModuleDoco'!$D38*DetailedEstWeightedValues!$F$38)+('Dtl SE_ModuleDoco'!$E38*DetailedEstWeightedValues!$G$38)+('Dtl SE_ModuleDoco'!$F38*DetailedEstWeightedValues!$H$38))</f>
        <v>29.5</v>
      </c>
      <c r="H38" s="369">
        <f>VLOOKUP($A38,DetailedEstWeightedValues!$A$112:$B$115,2,FALSE) * G38</f>
        <v>29.5</v>
      </c>
      <c r="I38" s="253"/>
      <c r="J38" s="369">
        <f t="shared" si="5"/>
        <v>29.5</v>
      </c>
      <c r="K38" s="343" t="s">
        <v>392</v>
      </c>
      <c r="L38" s="257" t="s">
        <v>413</v>
      </c>
    </row>
    <row r="39" spans="1:17" s="343" customFormat="1" ht="20.25" customHeight="1">
      <c r="A39" s="249" t="s">
        <v>116</v>
      </c>
      <c r="B39" s="249" t="s">
        <v>391</v>
      </c>
      <c r="C39" s="249" t="s">
        <v>19</v>
      </c>
      <c r="D39" s="249">
        <v>0.5</v>
      </c>
      <c r="E39" s="254">
        <v>0</v>
      </c>
      <c r="F39" s="249">
        <v>0</v>
      </c>
      <c r="G39" s="165">
        <f>IF(C39="New",('Dtl SE_ModuleDoco'!$D39*DetailedEstWeightedValues!$B$38)+('Dtl SE_ModuleDoco'!$E39*DetailedEstWeightedValues!$C$38)+('Dtl SE_ModuleDoco'!$F39*DetailedEstWeightedValues!$D$38),('Dtl SE_ModuleDoco'!$D39*DetailedEstWeightedValues!$F$38)+('Dtl SE_ModuleDoco'!$E39*DetailedEstWeightedValues!$G$38)+('Dtl SE_ModuleDoco'!$F39*DetailedEstWeightedValues!$H$38))</f>
        <v>14.75</v>
      </c>
      <c r="H39" s="165">
        <f>VLOOKUP($A39,DetailedEstWeightedValues!$A$112:$B$115,2,FALSE) * G39</f>
        <v>14.75</v>
      </c>
      <c r="I39" s="254"/>
      <c r="J39" s="165">
        <f t="shared" si="5"/>
        <v>14.75</v>
      </c>
      <c r="K39" s="343" t="s">
        <v>392</v>
      </c>
      <c r="L39" s="257" t="s">
        <v>413</v>
      </c>
    </row>
    <row r="40" spans="1:17" ht="20.25" customHeight="1">
      <c r="A40" s="172"/>
      <c r="B40" s="173"/>
      <c r="C40" s="173"/>
      <c r="D40" s="174"/>
      <c r="E40" s="174"/>
      <c r="F40" s="174"/>
      <c r="G40" s="175"/>
      <c r="H40" s="175"/>
      <c r="I40" s="176"/>
      <c r="J40" s="177"/>
      <c r="L40" s="171"/>
    </row>
    <row r="41" spans="1:17" ht="20.25" customHeight="1">
      <c r="A41" s="172"/>
      <c r="B41" s="173"/>
      <c r="C41" s="173"/>
      <c r="D41" s="174"/>
      <c r="E41" s="174"/>
      <c r="F41" s="174"/>
      <c r="G41" s="175"/>
      <c r="H41" s="175"/>
      <c r="I41" s="176"/>
      <c r="J41" s="177"/>
      <c r="L41" s="171"/>
    </row>
    <row r="42" spans="1:17" ht="20.25" customHeight="1">
      <c r="A42" s="444" t="s">
        <v>227</v>
      </c>
      <c r="B42" s="445"/>
      <c r="C42" s="445"/>
      <c r="D42" s="178">
        <f>SUM(D43:D45)</f>
        <v>0</v>
      </c>
      <c r="E42" s="178">
        <f t="shared" ref="E42:J42" si="6">SUM(E43:E45)</f>
        <v>2</v>
      </c>
      <c r="F42" s="178">
        <f t="shared" si="6"/>
        <v>0</v>
      </c>
      <c r="G42" s="178">
        <f t="shared" si="6"/>
        <v>21.5</v>
      </c>
      <c r="H42" s="178">
        <f t="shared" si="6"/>
        <v>21.5</v>
      </c>
      <c r="I42" s="178">
        <f t="shared" si="6"/>
        <v>0</v>
      </c>
      <c r="J42" s="374">
        <f t="shared" si="6"/>
        <v>21.5</v>
      </c>
      <c r="L42" s="117"/>
    </row>
    <row r="43" spans="1:17" s="343" customFormat="1" ht="45" customHeight="1">
      <c r="A43" s="257" t="s">
        <v>116</v>
      </c>
      <c r="B43" s="394" t="s">
        <v>393</v>
      </c>
      <c r="C43" s="257" t="s">
        <v>0</v>
      </c>
      <c r="D43" s="249">
        <v>0</v>
      </c>
      <c r="E43" s="257">
        <v>1</v>
      </c>
      <c r="F43" s="257"/>
      <c r="G43" s="370">
        <f>IF(C43="New",('Dtl SE_ModuleDoco'!$D43*DetailedEstWeightedValues!$B$45)+('Dtl SE_ModuleDoco'!$E43*DetailedEstWeightedValues!$C$45)+('Dtl SE_ModuleDoco'!$F43*DetailedEstWeightedValues!$D$45),('Dtl SE_ModuleDoco'!$D43*DetailedEstWeightedValues!$F$45)+('Dtl SE_ModuleDoco'!$E43*DetailedEstWeightedValues!$G$45)+('Dtl SE_ModuleDoco'!$F43*DetailedEstWeightedValues!$H$45))</f>
        <v>12</v>
      </c>
      <c r="H43" s="370">
        <f>VLOOKUP($A43,DetailedEstWeightedValues!$A$112:$B$115,2,FALSE) * G43</f>
        <v>12</v>
      </c>
      <c r="I43" s="254">
        <v>0</v>
      </c>
      <c r="J43" s="370">
        <f t="shared" ref="J43:J44" si="7">SUM(H43:I43)</f>
        <v>12</v>
      </c>
      <c r="K43" s="396" t="s">
        <v>392</v>
      </c>
      <c r="L43" s="257" t="s">
        <v>413</v>
      </c>
    </row>
    <row r="44" spans="1:17" s="343" customFormat="1" ht="20.25" customHeight="1">
      <c r="A44" s="249" t="s">
        <v>116</v>
      </c>
      <c r="B44" s="249" t="s">
        <v>394</v>
      </c>
      <c r="C44" s="249" t="s">
        <v>19</v>
      </c>
      <c r="D44" s="249">
        <v>0</v>
      </c>
      <c r="E44" s="249">
        <v>1</v>
      </c>
      <c r="F44" s="249">
        <v>0</v>
      </c>
      <c r="G44" s="165">
        <f>IF(C44="New",('Dtl SE_ModuleDoco'!$D44*DetailedEstWeightedValues!$B$45)+('Dtl SE_ModuleDoco'!$E44*DetailedEstWeightedValues!$C$45)+('Dtl SE_ModuleDoco'!$F44*DetailedEstWeightedValues!$D$45),('Dtl SE_ModuleDoco'!$D44*DetailedEstWeightedValues!$F$45)+('Dtl SE_ModuleDoco'!$E44*DetailedEstWeightedValues!$G$45)+('Dtl SE_ModuleDoco'!$F44*DetailedEstWeightedValues!$H$45))</f>
        <v>9.5</v>
      </c>
      <c r="H44" s="165">
        <f>VLOOKUP($A44,DetailedEstWeightedValues!$A$112:$B$115,2,FALSE) * G44</f>
        <v>9.5</v>
      </c>
      <c r="I44" s="254">
        <v>0</v>
      </c>
      <c r="J44" s="165">
        <f t="shared" si="7"/>
        <v>9.5</v>
      </c>
      <c r="K44" s="343" t="s">
        <v>395</v>
      </c>
      <c r="L44" s="249" t="s">
        <v>414</v>
      </c>
    </row>
    <row r="45" spans="1:17" ht="20.25" customHeight="1">
      <c r="A45" s="166"/>
      <c r="B45" s="166"/>
      <c r="C45" s="166"/>
      <c r="D45" s="167"/>
      <c r="E45" s="167"/>
      <c r="F45" s="167"/>
      <c r="G45" s="168"/>
      <c r="H45" s="168"/>
      <c r="I45" s="169"/>
      <c r="J45" s="170"/>
      <c r="L45" s="171"/>
    </row>
    <row r="46" spans="1:17" ht="20.25" customHeight="1">
      <c r="A46" s="172"/>
      <c r="B46" s="173"/>
      <c r="C46" s="173"/>
      <c r="D46" s="174"/>
      <c r="E46" s="174"/>
      <c r="F46" s="174"/>
      <c r="G46" s="175"/>
      <c r="H46" s="175"/>
      <c r="I46" s="176"/>
      <c r="J46" s="177"/>
      <c r="L46" s="171"/>
    </row>
    <row r="47" spans="1:17" ht="56.25" customHeight="1">
      <c r="A47" s="446" t="s">
        <v>293</v>
      </c>
      <c r="B47" s="445"/>
      <c r="C47" s="445"/>
      <c r="D47" s="178">
        <f>SUM(D48:D50)</f>
        <v>0</v>
      </c>
      <c r="E47" s="178">
        <f t="shared" ref="E47:J47" si="8">SUM(E48:E50)</f>
        <v>1</v>
      </c>
      <c r="F47" s="178">
        <f t="shared" si="8"/>
        <v>0</v>
      </c>
      <c r="G47" s="178">
        <f t="shared" si="8"/>
        <v>7.75</v>
      </c>
      <c r="H47" s="178">
        <f t="shared" si="8"/>
        <v>7.75</v>
      </c>
      <c r="I47" s="178">
        <f t="shared" si="8"/>
        <v>0</v>
      </c>
      <c r="J47" s="374">
        <f t="shared" si="8"/>
        <v>7.75</v>
      </c>
      <c r="L47" s="117"/>
    </row>
    <row r="48" spans="1:17" s="343" customFormat="1" ht="20.25" customHeight="1">
      <c r="A48" s="257" t="s">
        <v>116</v>
      </c>
      <c r="B48" s="257" t="s">
        <v>387</v>
      </c>
      <c r="C48" s="257" t="s">
        <v>19</v>
      </c>
      <c r="D48" s="249">
        <v>0</v>
      </c>
      <c r="E48" s="257">
        <v>1</v>
      </c>
      <c r="F48" s="257">
        <v>0</v>
      </c>
      <c r="G48" s="370">
        <f>IF(C48="New",('Dtl SE_ModuleDoco'!$D48*DetailedEstWeightedValues!$B$52)+('Dtl SE_ModuleDoco'!$E48*DetailedEstWeightedValues!$C$52)+('Dtl SE_ModuleDoco'!$F48*DetailedEstWeightedValues!$D$52),('Dtl SE_ModuleDoco'!$D48*DetailedEstWeightedValues!$F$52)+('Dtl SE_ModuleDoco'!$E48*DetailedEstWeightedValues!$G$52)+('Dtl SE_ModuleDoco'!$F48*DetailedEstWeightedValues!$H$52))</f>
        <v>7.75</v>
      </c>
      <c r="H48" s="370">
        <f>VLOOKUP($A48,DetailedEstWeightedValues!$A$112:$B$115,2,FALSE) * G48</f>
        <v>7.75</v>
      </c>
      <c r="I48" s="254">
        <v>0</v>
      </c>
      <c r="J48" s="370">
        <f t="shared" ref="J48:J49" si="9">SUM(H48:I48)</f>
        <v>7.75</v>
      </c>
      <c r="K48" s="343" t="s">
        <v>401</v>
      </c>
      <c r="L48" s="257" t="s">
        <v>413</v>
      </c>
    </row>
    <row r="49" spans="1:12" s="343" customFormat="1" ht="20.25" customHeight="1">
      <c r="A49" s="249" t="s">
        <v>69</v>
      </c>
      <c r="B49" s="249"/>
      <c r="C49" s="249" t="s">
        <v>0</v>
      </c>
      <c r="D49" s="249">
        <v>0</v>
      </c>
      <c r="E49" s="249">
        <v>0</v>
      </c>
      <c r="F49" s="249">
        <v>0</v>
      </c>
      <c r="G49" s="165">
        <f>IF(C49="New",('Dtl SE_ModuleDoco'!$D49*DetailedEstWeightedValues!$B$52)+('Dtl SE_ModuleDoco'!$E49*DetailedEstWeightedValues!$C$52)+('Dtl SE_ModuleDoco'!$F49*DetailedEstWeightedValues!$D$52),('Dtl SE_ModuleDoco'!$D49*DetailedEstWeightedValues!$F$52)+('Dtl SE_ModuleDoco'!$E49*DetailedEstWeightedValues!$G$52)+('Dtl SE_ModuleDoco'!$F49*DetailedEstWeightedValues!$H$52))</f>
        <v>0</v>
      </c>
      <c r="H49" s="165">
        <f>VLOOKUP($A49,DetailedEstWeightedValues!$A$112:$B$115,2,FALSE) * G49</f>
        <v>0</v>
      </c>
      <c r="I49" s="254">
        <v>0</v>
      </c>
      <c r="J49" s="165">
        <f t="shared" si="9"/>
        <v>0</v>
      </c>
      <c r="L49" s="249"/>
    </row>
    <row r="50" spans="1:12" s="343" customFormat="1" ht="20.25" customHeight="1">
      <c r="A50" s="166"/>
      <c r="B50" s="166"/>
      <c r="C50" s="166"/>
      <c r="D50" s="167"/>
      <c r="E50" s="167"/>
      <c r="F50" s="167"/>
      <c r="G50" s="169"/>
      <c r="H50" s="169"/>
      <c r="I50" s="169"/>
      <c r="J50" s="344"/>
    </row>
    <row r="51" spans="1:12" ht="20.25" customHeight="1">
      <c r="A51" s="172"/>
      <c r="B51" s="173"/>
      <c r="C51" s="173"/>
      <c r="D51" s="174"/>
      <c r="E51" s="174"/>
      <c r="F51" s="174"/>
      <c r="G51" s="175"/>
      <c r="H51" s="175"/>
      <c r="I51" s="176"/>
      <c r="J51" s="177"/>
      <c r="L51" s="171"/>
    </row>
    <row r="52" spans="1:12" ht="20.25" customHeight="1">
      <c r="A52" s="444" t="s">
        <v>229</v>
      </c>
      <c r="B52" s="445"/>
      <c r="C52" s="445"/>
      <c r="D52" s="178">
        <f t="shared" ref="D52:F52" si="10">SUM(D53:D56)</f>
        <v>1</v>
      </c>
      <c r="E52" s="178">
        <f t="shared" si="10"/>
        <v>0</v>
      </c>
      <c r="F52" s="178">
        <f t="shared" si="10"/>
        <v>0</v>
      </c>
      <c r="G52" s="178">
        <f>SUM(G53:G56)</f>
        <v>6.5</v>
      </c>
      <c r="H52" s="178">
        <f>SUM(H53:H56)</f>
        <v>6.5</v>
      </c>
      <c r="I52" s="178">
        <f>SUM(I53:I56)</f>
        <v>0</v>
      </c>
      <c r="J52" s="374">
        <f>SUM(J53:J56)</f>
        <v>6.5</v>
      </c>
      <c r="L52" s="117"/>
    </row>
    <row r="53" spans="1:12" s="343" customFormat="1" ht="38.25" customHeight="1">
      <c r="A53" s="257" t="s">
        <v>116</v>
      </c>
      <c r="B53" s="394" t="s">
        <v>404</v>
      </c>
      <c r="C53" s="257" t="s">
        <v>19</v>
      </c>
      <c r="D53" s="257">
        <v>1</v>
      </c>
      <c r="E53" s="257">
        <v>0</v>
      </c>
      <c r="F53" s="257"/>
      <c r="G53" s="370">
        <f>IF(C53="New",('Dtl SE_ModuleDoco'!$D53*DetailedEstWeightedValues!$B$61)+('Dtl SE_ModuleDoco'!$E53*DetailedEstWeightedValues!$B$61)+('Dtl SE_ModuleDoco'!$F53*DetailedEstWeightedValues!$B$61),('Dtl SE_ModuleDoco'!$D53*DetailedEstWeightedValues!$B$61)+('Dtl SE_ModuleDoco'!$E53*DetailedEstWeightedValues!$B$61)+('Dtl SE_ModuleDoco'!$F53*DetailedEstWeightedValues!$B$61))</f>
        <v>6.5</v>
      </c>
      <c r="H53" s="370">
        <f>VLOOKUP($A53,DetailedEstWeightedValues!$A$112:$B$115,2,FALSE) * G53</f>
        <v>6.5</v>
      </c>
      <c r="I53" s="254">
        <v>0</v>
      </c>
      <c r="J53" s="370">
        <f t="shared" ref="J53:J55" si="11">SUM(H53:I53)</f>
        <v>6.5</v>
      </c>
      <c r="K53" s="343" t="s">
        <v>402</v>
      </c>
      <c r="L53" s="257" t="s">
        <v>414</v>
      </c>
    </row>
    <row r="54" spans="1:12" s="343" customFormat="1" ht="20.25" customHeight="1">
      <c r="A54" s="257" t="s">
        <v>69</v>
      </c>
      <c r="B54" s="257"/>
      <c r="C54" s="257" t="s">
        <v>19</v>
      </c>
      <c r="D54" s="257">
        <v>0</v>
      </c>
      <c r="E54" s="257">
        <v>0</v>
      </c>
      <c r="F54" s="257">
        <v>0</v>
      </c>
      <c r="G54" s="369">
        <f>IF(C54="New",('Dtl SE_ModuleDoco'!$D54*DetailedEstWeightedValues!$B$61)+('Dtl SE_ModuleDoco'!$E54*DetailedEstWeightedValues!$B$61)+('Dtl SE_ModuleDoco'!$F54*DetailedEstWeightedValues!$B$61),('Dtl SE_ModuleDoco'!$D54*DetailedEstWeightedValues!$B$61)+('Dtl SE_ModuleDoco'!$E54*DetailedEstWeightedValues!$B$61)+('Dtl SE_ModuleDoco'!$F54*DetailedEstWeightedValues!$B$61))</f>
        <v>0</v>
      </c>
      <c r="H54" s="369">
        <f>VLOOKUP($A54,DetailedEstWeightedValues!$A$112:$B$115,2,FALSE) * G54</f>
        <v>0</v>
      </c>
      <c r="I54" s="254">
        <v>0</v>
      </c>
      <c r="J54" s="369">
        <f t="shared" si="11"/>
        <v>0</v>
      </c>
      <c r="L54" s="257"/>
    </row>
    <row r="55" spans="1:12" s="343" customFormat="1" ht="20.25" customHeight="1">
      <c r="A55" s="249" t="s">
        <v>226</v>
      </c>
      <c r="B55" s="249"/>
      <c r="C55" s="249" t="s">
        <v>19</v>
      </c>
      <c r="D55" s="249">
        <v>0</v>
      </c>
      <c r="E55" s="249">
        <v>0</v>
      </c>
      <c r="F55" s="249">
        <v>0</v>
      </c>
      <c r="G55" s="165">
        <f>IF(C55="New",('Dtl SE_ModuleDoco'!$D55*DetailedEstWeightedValues!$B$61)+('Dtl SE_ModuleDoco'!$E55*DetailedEstWeightedValues!$B$61)+('Dtl SE_ModuleDoco'!$F55*DetailedEstWeightedValues!$B$61),('Dtl SE_ModuleDoco'!$D55*DetailedEstWeightedValues!$B$61)+('Dtl SE_ModuleDoco'!$E55*DetailedEstWeightedValues!$B$61)+('Dtl SE_ModuleDoco'!$F55*DetailedEstWeightedValues!$B$61))</f>
        <v>0</v>
      </c>
      <c r="H55" s="165">
        <f>VLOOKUP($A55,DetailedEstWeightedValues!$A$112:$B$115,2,FALSE) * G55</f>
        <v>0</v>
      </c>
      <c r="I55" s="254">
        <v>0</v>
      </c>
      <c r="J55" s="165">
        <f t="shared" si="11"/>
        <v>0</v>
      </c>
      <c r="L55" s="249"/>
    </row>
    <row r="56" spans="1:12" s="343" customFormat="1" ht="20.25" customHeight="1">
      <c r="A56" s="166"/>
      <c r="B56" s="166"/>
      <c r="C56" s="166"/>
      <c r="D56" s="167"/>
      <c r="E56" s="167"/>
      <c r="F56" s="167"/>
      <c r="G56" s="169"/>
      <c r="H56" s="169"/>
      <c r="I56" s="169"/>
      <c r="J56" s="344"/>
      <c r="L56" s="171"/>
    </row>
    <row r="57" spans="1:12" ht="20.25" customHeight="1">
      <c r="A57" s="172"/>
      <c r="B57" s="173"/>
      <c r="C57" s="173"/>
      <c r="D57" s="174"/>
      <c r="E57" s="174"/>
      <c r="F57" s="174"/>
      <c r="G57" s="175"/>
      <c r="H57" s="175"/>
      <c r="I57" s="176"/>
      <c r="J57" s="177"/>
      <c r="L57" s="171"/>
    </row>
    <row r="58" spans="1:12" ht="20.25" customHeight="1">
      <c r="A58" s="444" t="s">
        <v>230</v>
      </c>
      <c r="B58" s="445"/>
      <c r="C58" s="445"/>
      <c r="D58" s="178">
        <f t="shared" ref="D58:F58" si="12">SUM(D59:D63)</f>
        <v>0</v>
      </c>
      <c r="E58" s="178">
        <f t="shared" si="12"/>
        <v>0</v>
      </c>
      <c r="F58" s="178">
        <f t="shared" si="12"/>
        <v>0</v>
      </c>
      <c r="G58" s="178">
        <f>SUM(G59:G63)</f>
        <v>0</v>
      </c>
      <c r="H58" s="178">
        <f>SUM(H59:H63)</f>
        <v>0</v>
      </c>
      <c r="I58" s="178">
        <f>SUM(I59:I63)</f>
        <v>0</v>
      </c>
      <c r="J58" s="374">
        <f>SUM(J59:J63)</f>
        <v>0</v>
      </c>
      <c r="L58" s="117"/>
    </row>
    <row r="59" spans="1:12" s="343" customFormat="1" ht="20.25" customHeight="1">
      <c r="A59" s="257" t="s">
        <v>67</v>
      </c>
      <c r="B59" s="257"/>
      <c r="C59" s="257" t="s">
        <v>0</v>
      </c>
      <c r="D59" s="257">
        <v>0</v>
      </c>
      <c r="E59" s="257">
        <v>0</v>
      </c>
      <c r="F59" s="257">
        <v>0</v>
      </c>
      <c r="G59" s="370">
        <f>IF(C59="New",('Dtl SE_ModuleDoco'!$D59*DetailedEstWeightedValues!$B$72)+('Dtl SE_ModuleDoco'!$E59*DetailedEstWeightedValues!$C$72)+('Dtl SE_ModuleDoco'!$F59*DetailedEstWeightedValues!$D$72),('Dtl SE_ModuleDoco'!$D59*DetailedEstWeightedValues!$F$72)+('Dtl SE_ModuleDoco'!$E59*DetailedEstWeightedValues!$G$72)+('Dtl SE_ModuleDoco'!$F59*DetailedEstWeightedValues!$H$72))</f>
        <v>0</v>
      </c>
      <c r="H59" s="370">
        <f>VLOOKUP($A59,DetailedEstWeightedValues!$A$112:$B$115,2,FALSE) * G59</f>
        <v>0</v>
      </c>
      <c r="I59" s="254">
        <v>0</v>
      </c>
      <c r="J59" s="370">
        <f t="shared" ref="J59:J62" si="13">SUM(H59:I59)</f>
        <v>0</v>
      </c>
      <c r="L59" s="257"/>
    </row>
    <row r="60" spans="1:12" s="343" customFormat="1" ht="20.25" customHeight="1">
      <c r="A60" s="257" t="s">
        <v>116</v>
      </c>
      <c r="B60" s="257"/>
      <c r="C60" s="257" t="s">
        <v>0</v>
      </c>
      <c r="D60" s="257">
        <v>0</v>
      </c>
      <c r="E60" s="257">
        <v>0</v>
      </c>
      <c r="F60" s="257">
        <v>0</v>
      </c>
      <c r="G60" s="369">
        <f>IF(C60="New",('Dtl SE_ModuleDoco'!$D60*DetailedEstWeightedValues!$B$72)+('Dtl SE_ModuleDoco'!$E60*DetailedEstWeightedValues!$C$72)+('Dtl SE_ModuleDoco'!$F60*DetailedEstWeightedValues!$D$72),('Dtl SE_ModuleDoco'!$D60*DetailedEstWeightedValues!$F$72)+('Dtl SE_ModuleDoco'!$E60*DetailedEstWeightedValues!$G$72)+('Dtl SE_ModuleDoco'!$F60*DetailedEstWeightedValues!$H$72))</f>
        <v>0</v>
      </c>
      <c r="H60" s="369">
        <f>VLOOKUP($A60,DetailedEstWeightedValues!$A$112:$B$115,2,FALSE) * G60</f>
        <v>0</v>
      </c>
      <c r="I60" s="254">
        <v>0</v>
      </c>
      <c r="J60" s="369">
        <f t="shared" si="13"/>
        <v>0</v>
      </c>
      <c r="L60" s="257"/>
    </row>
    <row r="61" spans="1:12" s="343" customFormat="1" ht="20.25" customHeight="1">
      <c r="A61" s="257" t="s">
        <v>226</v>
      </c>
      <c r="B61" s="257"/>
      <c r="C61" s="257" t="s">
        <v>0</v>
      </c>
      <c r="D61" s="257">
        <v>0</v>
      </c>
      <c r="E61" s="257">
        <v>0</v>
      </c>
      <c r="F61" s="257">
        <v>0</v>
      </c>
      <c r="G61" s="369">
        <f>IF(C61="New",('Dtl SE_ModuleDoco'!$D61*DetailedEstWeightedValues!$B$72)+('Dtl SE_ModuleDoco'!$E61*DetailedEstWeightedValues!$C$72)+('Dtl SE_ModuleDoco'!$F61*DetailedEstWeightedValues!$D$72),('Dtl SE_ModuleDoco'!$D61*DetailedEstWeightedValues!$F$72)+('Dtl SE_ModuleDoco'!$E61*DetailedEstWeightedValues!$G$72)+('Dtl SE_ModuleDoco'!$F61*DetailedEstWeightedValues!$H$72))</f>
        <v>0</v>
      </c>
      <c r="H61" s="369">
        <f>VLOOKUP($A61,DetailedEstWeightedValues!$A$112:$B$115,2,FALSE) * G61</f>
        <v>0</v>
      </c>
      <c r="I61" s="254">
        <v>0</v>
      </c>
      <c r="J61" s="369">
        <f t="shared" si="13"/>
        <v>0</v>
      </c>
      <c r="L61" s="257"/>
    </row>
    <row r="62" spans="1:12" s="343" customFormat="1" ht="20.25" customHeight="1">
      <c r="A62" s="249" t="s">
        <v>116</v>
      </c>
      <c r="B62" s="249"/>
      <c r="C62" s="249" t="s">
        <v>0</v>
      </c>
      <c r="D62" s="249">
        <v>0</v>
      </c>
      <c r="E62" s="249">
        <v>0</v>
      </c>
      <c r="F62" s="249">
        <v>0</v>
      </c>
      <c r="G62" s="165">
        <f>IF(C62="New",('Dtl SE_ModuleDoco'!$D62*DetailedEstWeightedValues!$B$72)+('Dtl SE_ModuleDoco'!$E62*DetailedEstWeightedValues!$C$72)+('Dtl SE_ModuleDoco'!$F62*DetailedEstWeightedValues!$D$72),('Dtl SE_ModuleDoco'!$D62*DetailedEstWeightedValues!$F$72)+('Dtl SE_ModuleDoco'!$E62*DetailedEstWeightedValues!$G$72)+('Dtl SE_ModuleDoco'!$F62*DetailedEstWeightedValues!$H$72))</f>
        <v>0</v>
      </c>
      <c r="H62" s="165">
        <f>VLOOKUP($A62,DetailedEstWeightedValues!$A$112:$B$115,2,FALSE) * G62</f>
        <v>0</v>
      </c>
      <c r="I62" s="254">
        <v>0</v>
      </c>
      <c r="J62" s="165">
        <f t="shared" si="13"/>
        <v>0</v>
      </c>
      <c r="L62" s="249"/>
    </row>
    <row r="63" spans="1:12" s="343" customFormat="1" ht="20.25" customHeight="1">
      <c r="A63" s="166"/>
      <c r="B63" s="166"/>
      <c r="C63" s="166"/>
      <c r="D63" s="167"/>
      <c r="E63" s="167"/>
      <c r="F63" s="167"/>
      <c r="G63" s="169"/>
      <c r="H63" s="169"/>
      <c r="I63" s="169"/>
      <c r="J63" s="344"/>
      <c r="L63" s="171"/>
    </row>
    <row r="64" spans="1:12" ht="20.25" customHeight="1">
      <c r="A64" s="172"/>
      <c r="B64" s="173"/>
      <c r="C64" s="173"/>
      <c r="D64" s="174"/>
      <c r="E64" s="174"/>
      <c r="F64" s="174"/>
      <c r="G64" s="175"/>
      <c r="H64" s="175"/>
      <c r="I64" s="176"/>
      <c r="J64" s="177"/>
      <c r="L64" s="171"/>
    </row>
    <row r="65" spans="1:12" ht="20.25" customHeight="1">
      <c r="A65" s="425" t="s">
        <v>180</v>
      </c>
      <c r="B65" s="426"/>
      <c r="C65" s="426"/>
      <c r="D65" s="178">
        <f t="shared" ref="D65:F65" si="14">SUM(D66:D68)</f>
        <v>0</v>
      </c>
      <c r="E65" s="178">
        <f t="shared" si="14"/>
        <v>0</v>
      </c>
      <c r="F65" s="178">
        <f t="shared" si="14"/>
        <v>0</v>
      </c>
      <c r="G65" s="178">
        <f>SUM(G66:G68)</f>
        <v>0</v>
      </c>
      <c r="H65" s="178">
        <f>SUM(H66:H68)</f>
        <v>0</v>
      </c>
      <c r="I65" s="178">
        <f>SUM(I66:I68)</f>
        <v>0</v>
      </c>
      <c r="J65" s="374">
        <f>SUM(J66:J68)</f>
        <v>0</v>
      </c>
      <c r="L65" s="117"/>
    </row>
    <row r="66" spans="1:12" s="343" customFormat="1" ht="20.25" customHeight="1">
      <c r="A66" s="257" t="s">
        <v>116</v>
      </c>
      <c r="B66" s="257"/>
      <c r="C66" s="257" t="s">
        <v>19</v>
      </c>
      <c r="D66" s="249">
        <v>0</v>
      </c>
      <c r="E66" s="257">
        <v>0</v>
      </c>
      <c r="F66" s="249">
        <v>0</v>
      </c>
      <c r="G66" s="370">
        <f>IF(C66="New",('Dtl SE_ModuleDoco'!$D66*DetailedEstWeightedValues!$B$83)+('Dtl SE_ModuleDoco'!$E66*DetailedEstWeightedValues!$B$83)+('Dtl SE_ModuleDoco'!$F66*DetailedEstWeightedValues!$B$83),('Dtl SE_ModuleDoco'!$D66*DetailedEstWeightedValues!$B$83)+('Dtl SE_ModuleDoco'!$E66*DetailedEstWeightedValues!$B$83)+('Dtl SE_ModuleDoco'!$F66*DetailedEstWeightedValues!$B$83))</f>
        <v>0</v>
      </c>
      <c r="H66" s="370">
        <f>VLOOKUP($A66,DetailedEstWeightedValues!$A$112:$B$115,2,FALSE) * G66</f>
        <v>0</v>
      </c>
      <c r="I66" s="254">
        <v>0</v>
      </c>
      <c r="J66" s="370">
        <f t="shared" ref="J66:J67" si="15">SUM(H66:I66)</f>
        <v>0</v>
      </c>
      <c r="L66" s="257"/>
    </row>
    <row r="67" spans="1:12" s="343" customFormat="1" ht="20.25" customHeight="1">
      <c r="A67" s="249" t="s">
        <v>67</v>
      </c>
      <c r="B67" s="249"/>
      <c r="C67" s="249" t="s">
        <v>0</v>
      </c>
      <c r="D67" s="249">
        <v>0</v>
      </c>
      <c r="E67" s="249">
        <v>0</v>
      </c>
      <c r="F67" s="249">
        <v>0</v>
      </c>
      <c r="G67" s="165">
        <f>IF(C67="New",('Dtl SE_ModuleDoco'!$D67*DetailedEstWeightedValues!$B$83)+('Dtl SE_ModuleDoco'!$E67*DetailedEstWeightedValues!$B$83)+('Dtl SE_ModuleDoco'!$F67*DetailedEstWeightedValues!$B$83),('Dtl SE_ModuleDoco'!$D67*DetailedEstWeightedValues!$B$83)+('Dtl SE_ModuleDoco'!$E67*DetailedEstWeightedValues!$B$83)+('Dtl SE_ModuleDoco'!$F67*DetailedEstWeightedValues!$B$83))</f>
        <v>0</v>
      </c>
      <c r="H67" s="165">
        <f>VLOOKUP($A67,DetailedEstWeightedValues!$A$112:$B$115,2,FALSE) * G67</f>
        <v>0</v>
      </c>
      <c r="I67" s="254">
        <v>0</v>
      </c>
      <c r="J67" s="165">
        <f t="shared" si="15"/>
        <v>0</v>
      </c>
      <c r="L67" s="249"/>
    </row>
    <row r="68" spans="1:12" s="343" customFormat="1" ht="20.25" customHeight="1">
      <c r="A68" s="166"/>
      <c r="B68" s="166"/>
      <c r="C68" s="166"/>
      <c r="D68" s="167"/>
      <c r="E68" s="167"/>
      <c r="F68" s="167"/>
      <c r="G68" s="169"/>
      <c r="H68" s="169"/>
      <c r="I68" s="169"/>
      <c r="J68" s="344"/>
      <c r="L68" s="171"/>
    </row>
    <row r="69" spans="1:12" ht="20.25" customHeight="1">
      <c r="A69" s="172"/>
      <c r="B69" s="173"/>
      <c r="C69" s="173"/>
      <c r="D69" s="174"/>
      <c r="E69" s="174"/>
      <c r="F69" s="174"/>
      <c r="G69" s="175"/>
      <c r="H69" s="175"/>
      <c r="I69" s="176"/>
      <c r="J69" s="177"/>
      <c r="L69" s="171"/>
    </row>
    <row r="70" spans="1:12" ht="20.25" customHeight="1">
      <c r="A70" s="425" t="s">
        <v>231</v>
      </c>
      <c r="B70" s="426"/>
      <c r="C70" s="426"/>
      <c r="D70" s="178">
        <f t="shared" ref="D70:F70" si="16">SUM(D71:D73)</f>
        <v>0</v>
      </c>
      <c r="E70" s="178">
        <f t="shared" si="16"/>
        <v>0</v>
      </c>
      <c r="F70" s="178">
        <f t="shared" si="16"/>
        <v>0</v>
      </c>
      <c r="G70" s="178">
        <f>SUM(G71:G73)</f>
        <v>0</v>
      </c>
      <c r="H70" s="178">
        <f>SUM(H71:H73)</f>
        <v>0</v>
      </c>
      <c r="I70" s="178">
        <f>SUM(I71:I73)</f>
        <v>0</v>
      </c>
      <c r="J70" s="374">
        <f>SUM(J71:J73)</f>
        <v>0</v>
      </c>
      <c r="L70" s="117"/>
    </row>
    <row r="71" spans="1:12" s="343" customFormat="1" ht="20.25" customHeight="1">
      <c r="A71" s="257" t="s">
        <v>67</v>
      </c>
      <c r="B71" s="257"/>
      <c r="C71" s="257" t="s">
        <v>0</v>
      </c>
      <c r="D71" s="249">
        <v>0</v>
      </c>
      <c r="E71" s="249">
        <v>0</v>
      </c>
      <c r="F71" s="257">
        <v>0</v>
      </c>
      <c r="G71" s="370">
        <f>IF(C71="New",('Dtl SE_ModuleDoco'!$D71*DetailedEstWeightedValues!$B$94)+('Dtl SE_ModuleDoco'!$E71*DetailedEstWeightedValues!$B$94)+('Dtl SE_ModuleDoco'!$F71*DetailedEstWeightedValues!$B$94),('Dtl SE_ModuleDoco'!$D71*DetailedEstWeightedValues!$B$94)+('Dtl SE_ModuleDoco'!$E71*DetailedEstWeightedValues!$B$94)+('Dtl SE_ModuleDoco'!$F71*DetailedEstWeightedValues!$B$94))</f>
        <v>0</v>
      </c>
      <c r="H71" s="370">
        <f>VLOOKUP($A71,DetailedEstWeightedValues!$A$112:$B$115,2,FALSE) * G71</f>
        <v>0</v>
      </c>
      <c r="I71" s="254">
        <v>0</v>
      </c>
      <c r="J71" s="370">
        <f t="shared" ref="J71:J72" si="17">SUM(H71:I71)</f>
        <v>0</v>
      </c>
      <c r="L71" s="257"/>
    </row>
    <row r="72" spans="1:12" s="343" customFormat="1" ht="20.25" customHeight="1">
      <c r="A72" s="249" t="s">
        <v>69</v>
      </c>
      <c r="B72" s="249"/>
      <c r="C72" s="249" t="s">
        <v>19</v>
      </c>
      <c r="D72" s="249">
        <v>0</v>
      </c>
      <c r="E72" s="249">
        <v>0</v>
      </c>
      <c r="F72" s="249">
        <v>0</v>
      </c>
      <c r="G72" s="165">
        <f>IF(C72="New",('Dtl SE_ModuleDoco'!$D72*DetailedEstWeightedValues!$B$94)+('Dtl SE_ModuleDoco'!$E72*DetailedEstWeightedValues!$B$94)+('Dtl SE_ModuleDoco'!$F72*DetailedEstWeightedValues!$B$94),('Dtl SE_ModuleDoco'!$D72*DetailedEstWeightedValues!$B$94)+('Dtl SE_ModuleDoco'!$E72*DetailedEstWeightedValues!$B$94)+('Dtl SE_ModuleDoco'!$F72*DetailedEstWeightedValues!$B$94))</f>
        <v>0</v>
      </c>
      <c r="H72" s="165">
        <f>VLOOKUP($A72,DetailedEstWeightedValues!$A$112:$B$115,2,FALSE) * G72</f>
        <v>0</v>
      </c>
      <c r="I72" s="254">
        <v>0</v>
      </c>
      <c r="J72" s="165">
        <f t="shared" si="17"/>
        <v>0</v>
      </c>
      <c r="L72" s="249"/>
    </row>
    <row r="73" spans="1:12" s="343" customFormat="1" ht="20.25" customHeight="1">
      <c r="A73" s="166"/>
      <c r="B73" s="166"/>
      <c r="C73" s="166"/>
      <c r="D73" s="167"/>
      <c r="E73" s="167"/>
      <c r="F73" s="167"/>
      <c r="G73" s="169"/>
      <c r="H73" s="169"/>
      <c r="I73" s="169"/>
      <c r="J73" s="344"/>
      <c r="L73" s="171"/>
    </row>
    <row r="74" spans="1:12" ht="20.25" customHeight="1">
      <c r="A74" s="172"/>
      <c r="B74" s="173"/>
      <c r="C74" s="173"/>
      <c r="D74" s="174"/>
      <c r="E74" s="174"/>
      <c r="F74" s="174"/>
      <c r="G74" s="175"/>
      <c r="H74" s="175"/>
      <c r="I74" s="176"/>
      <c r="J74" s="177"/>
      <c r="L74" s="171"/>
    </row>
    <row r="75" spans="1:12" ht="20.25" customHeight="1">
      <c r="A75" s="425" t="s">
        <v>242</v>
      </c>
      <c r="B75" s="426"/>
      <c r="C75" s="426"/>
      <c r="D75" s="178">
        <f t="shared" ref="D75:F75" si="18">SUM(D76:D78)</f>
        <v>0</v>
      </c>
      <c r="E75" s="178">
        <f t="shared" si="18"/>
        <v>0</v>
      </c>
      <c r="F75" s="178">
        <f t="shared" si="18"/>
        <v>0</v>
      </c>
      <c r="G75" s="178">
        <f>SUM(G76:G78)</f>
        <v>0</v>
      </c>
      <c r="H75" s="178">
        <f>SUM(H76:H78)</f>
        <v>0</v>
      </c>
      <c r="I75" s="178">
        <f>SUM(I76:I78)</f>
        <v>0</v>
      </c>
      <c r="J75" s="374">
        <f>SUM(J76:J78)</f>
        <v>0</v>
      </c>
      <c r="L75" s="117"/>
    </row>
    <row r="76" spans="1:12" s="343" customFormat="1" ht="20.25" customHeight="1">
      <c r="A76" s="257" t="s">
        <v>116</v>
      </c>
      <c r="B76" s="257"/>
      <c r="C76" s="257" t="s">
        <v>0</v>
      </c>
      <c r="D76" s="249">
        <v>0</v>
      </c>
      <c r="E76" s="257">
        <v>0</v>
      </c>
      <c r="F76" s="257">
        <v>0</v>
      </c>
      <c r="G76" s="370">
        <f>IF(C76="New",('Dtl SE_ModuleDoco'!$D76*DetailedEstWeightedValues!$B$101)+('Dtl SE_ModuleDoco'!$E76*DetailedEstWeightedValues!$B$101)+('Dtl SE_ModuleDoco'!$F76*DetailedEstWeightedValues!$B$101),('Dtl SE_ModuleDoco'!$D76*DetailedEstWeightedValues!$B$101)+('Dtl SE_ModuleDoco'!$E76*DetailedEstWeightedValues!$B$101)+('Dtl SE_ModuleDoco'!$F76*DetailedEstWeightedValues!$B$101))</f>
        <v>0</v>
      </c>
      <c r="H76" s="370">
        <f>VLOOKUP($A76,DetailedEstWeightedValues!$A$112:$B$115,2,FALSE) * G76</f>
        <v>0</v>
      </c>
      <c r="I76" s="254">
        <v>0</v>
      </c>
      <c r="J76" s="370">
        <f t="shared" ref="J76:J77" si="19">SUM(H76:I76)</f>
        <v>0</v>
      </c>
      <c r="L76" s="257"/>
    </row>
    <row r="77" spans="1:12" s="343" customFormat="1" ht="20.25" customHeight="1">
      <c r="A77" s="249" t="s">
        <v>69</v>
      </c>
      <c r="B77" s="249"/>
      <c r="C77" s="249" t="s">
        <v>19</v>
      </c>
      <c r="D77" s="249">
        <v>0</v>
      </c>
      <c r="E77" s="249">
        <v>0</v>
      </c>
      <c r="F77" s="249">
        <v>0</v>
      </c>
      <c r="G77" s="165">
        <f>IF(C77="New",('Dtl SE_ModuleDoco'!$D77*DetailedEstWeightedValues!$B$101)+('Dtl SE_ModuleDoco'!$E77*DetailedEstWeightedValues!$B$101)+('Dtl SE_ModuleDoco'!$F77*DetailedEstWeightedValues!$B$101),('Dtl SE_ModuleDoco'!$D77*DetailedEstWeightedValues!$B$101)+('Dtl SE_ModuleDoco'!$E77*DetailedEstWeightedValues!$B$101)+('Dtl SE_ModuleDoco'!$F77*DetailedEstWeightedValues!$B$101))</f>
        <v>0</v>
      </c>
      <c r="H77" s="165">
        <f>VLOOKUP($A77,DetailedEstWeightedValues!$A$112:$B$115,2,FALSE) * G77</f>
        <v>0</v>
      </c>
      <c r="I77" s="254">
        <v>0</v>
      </c>
      <c r="J77" s="165">
        <f t="shared" si="19"/>
        <v>0</v>
      </c>
      <c r="L77" s="249"/>
    </row>
    <row r="78" spans="1:12" s="343" customFormat="1" ht="20.25" customHeight="1">
      <c r="A78" s="166"/>
      <c r="B78" s="166"/>
      <c r="C78" s="166"/>
      <c r="D78" s="167"/>
      <c r="E78" s="167"/>
      <c r="F78" s="167"/>
      <c r="G78" s="169"/>
      <c r="H78" s="169"/>
      <c r="I78" s="169"/>
      <c r="J78" s="344"/>
      <c r="L78" s="171"/>
    </row>
    <row r="79" spans="1:12" ht="20.25" customHeight="1">
      <c r="A79" s="172"/>
      <c r="B79" s="173"/>
      <c r="C79" s="173"/>
      <c r="D79" s="174"/>
      <c r="E79" s="174"/>
      <c r="F79" s="174"/>
      <c r="G79" s="175"/>
      <c r="H79" s="175"/>
      <c r="I79" s="176"/>
      <c r="J79" s="177"/>
      <c r="L79" s="171"/>
    </row>
    <row r="80" spans="1:12" ht="20.25" customHeight="1">
      <c r="A80" s="425" t="s">
        <v>232</v>
      </c>
      <c r="B80" s="426"/>
      <c r="C80" s="426"/>
      <c r="D80" s="178">
        <f t="shared" ref="D80:F80" si="20">SUM(D81:D87)</f>
        <v>9</v>
      </c>
      <c r="E80" s="178">
        <f t="shared" si="20"/>
        <v>11</v>
      </c>
      <c r="F80" s="178">
        <f t="shared" si="20"/>
        <v>0</v>
      </c>
      <c r="G80" s="178">
        <f>SUM(G81:G87)</f>
        <v>292</v>
      </c>
      <c r="H80" s="178">
        <f>SUM(H81:H87)</f>
        <v>255.4</v>
      </c>
      <c r="I80" s="178">
        <f>SUM(I81:I87)</f>
        <v>0</v>
      </c>
      <c r="J80" s="374">
        <f>SUM(J81:J87)</f>
        <v>255.4</v>
      </c>
      <c r="L80" s="117"/>
    </row>
    <row r="81" spans="1:12" s="343" customFormat="1" ht="45.75" customHeight="1">
      <c r="A81" s="257" t="s">
        <v>116</v>
      </c>
      <c r="B81" s="394" t="s">
        <v>405</v>
      </c>
      <c r="C81" s="257" t="s">
        <v>19</v>
      </c>
      <c r="D81" s="257">
        <v>1</v>
      </c>
      <c r="E81" s="257">
        <v>0</v>
      </c>
      <c r="F81" s="257">
        <v>0</v>
      </c>
      <c r="G81" s="370">
        <f>IF(C81="New",('Dtl SE_ModuleDoco'!$D81*DetailedEstWeightedValues!$B$109)+('Dtl SE_ModuleDoco'!$E81*DetailedEstWeightedValues!$C$109)+('Dtl SE_ModuleDoco'!$F81*DetailedEstWeightedValues!$D$109),('Dtl SE_ModuleDoco'!$D81*DetailedEstWeightedValues!$F$109)+('Dtl SE_ModuleDoco'!$E81*DetailedEstWeightedValues!$G$109)+('Dtl SE_ModuleDoco'!$F81*DetailedEstWeightedValues!$H$109))</f>
        <v>8</v>
      </c>
      <c r="H81" s="370">
        <f>VLOOKUP($A81,DetailedEstWeightedValues!$A$112:$B$115,2,FALSE) * G81</f>
        <v>8</v>
      </c>
      <c r="I81" s="254">
        <v>0</v>
      </c>
      <c r="J81" s="370">
        <f t="shared" ref="J81:J86" si="21">SUM(H81:I81)</f>
        <v>8</v>
      </c>
      <c r="K81" s="343" t="s">
        <v>402</v>
      </c>
      <c r="L81" s="257" t="s">
        <v>414</v>
      </c>
    </row>
    <row r="82" spans="1:12" s="343" customFormat="1" ht="20.25" customHeight="1">
      <c r="A82" s="257" t="s">
        <v>69</v>
      </c>
      <c r="B82" s="257" t="s">
        <v>378</v>
      </c>
      <c r="C82" s="257" t="s">
        <v>19</v>
      </c>
      <c r="D82" s="257">
        <v>8</v>
      </c>
      <c r="E82" s="257">
        <v>0</v>
      </c>
      <c r="F82" s="257">
        <v>0</v>
      </c>
      <c r="G82" s="369">
        <f>IF(C82="New",('Dtl SE_ModuleDoco'!$D82*DetailedEstWeightedValues!$B$109)+('Dtl SE_ModuleDoco'!$E82*DetailedEstWeightedValues!$C$109)+('Dtl SE_ModuleDoco'!$F82*DetailedEstWeightedValues!$D$109),('Dtl SE_ModuleDoco'!$D82*DetailedEstWeightedValues!$F$109)+('Dtl SE_ModuleDoco'!$E82*DetailedEstWeightedValues!$G$109)+('Dtl SE_ModuleDoco'!$F82*DetailedEstWeightedValues!$H$109))</f>
        <v>64</v>
      </c>
      <c r="H82" s="369">
        <f>VLOOKUP($A82,DetailedEstWeightedValues!$A$112:$B$115,2,FALSE) * G82</f>
        <v>54.4</v>
      </c>
      <c r="I82" s="254">
        <v>0</v>
      </c>
      <c r="J82" s="369">
        <f t="shared" si="21"/>
        <v>54.4</v>
      </c>
      <c r="K82" s="343" t="s">
        <v>392</v>
      </c>
      <c r="L82" s="257" t="s">
        <v>413</v>
      </c>
    </row>
    <row r="83" spans="1:12" s="343" customFormat="1" ht="20.25" customHeight="1">
      <c r="A83" s="257" t="s">
        <v>69</v>
      </c>
      <c r="B83" s="257" t="s">
        <v>410</v>
      </c>
      <c r="C83" s="257" t="s">
        <v>19</v>
      </c>
      <c r="D83" s="257">
        <v>0</v>
      </c>
      <c r="E83" s="257">
        <v>9</v>
      </c>
      <c r="F83" s="257">
        <v>0</v>
      </c>
      <c r="G83" s="369">
        <f>IF(C83="New",('Dtl SE_ModuleDoco'!$D83*DetailedEstWeightedValues!$B$109)+('Dtl SE_ModuleDoco'!$E83*DetailedEstWeightedValues!$C$109)+('Dtl SE_ModuleDoco'!$F83*DetailedEstWeightedValues!$D$109),('Dtl SE_ModuleDoco'!$D83*DetailedEstWeightedValues!$F$109)+('Dtl SE_ModuleDoco'!$E83*DetailedEstWeightedValues!$G$109)+('Dtl SE_ModuleDoco'!$F83*DetailedEstWeightedValues!$H$109))</f>
        <v>180</v>
      </c>
      <c r="H83" s="369">
        <f>VLOOKUP($A83,DetailedEstWeightedValues!$A$112:$B$115,2,FALSE) * G83</f>
        <v>153</v>
      </c>
      <c r="I83" s="253">
        <v>0</v>
      </c>
      <c r="J83" s="369">
        <f t="shared" si="21"/>
        <v>153</v>
      </c>
      <c r="K83" s="343" t="s">
        <v>379</v>
      </c>
      <c r="L83" s="257" t="s">
        <v>415</v>
      </c>
    </row>
    <row r="84" spans="1:12" s="343" customFormat="1" ht="20.25" customHeight="1">
      <c r="A84" s="257" t="s">
        <v>116</v>
      </c>
      <c r="B84" s="257" t="s">
        <v>396</v>
      </c>
      <c r="C84" s="257" t="s">
        <v>19</v>
      </c>
      <c r="D84" s="257">
        <v>0</v>
      </c>
      <c r="E84" s="257">
        <v>1</v>
      </c>
      <c r="F84" s="257">
        <v>0</v>
      </c>
      <c r="G84" s="369">
        <f>IF(C84="New",('Dtl SE_ModuleDoco'!$D84*DetailedEstWeightedValues!$B$109)+('Dtl SE_ModuleDoco'!$E84*DetailedEstWeightedValues!$C$109)+('Dtl SE_ModuleDoco'!$F84*DetailedEstWeightedValues!$D$109),('Dtl SE_ModuleDoco'!$D84*DetailedEstWeightedValues!$F$109)+('Dtl SE_ModuleDoco'!$E84*DetailedEstWeightedValues!$G$109)+('Dtl SE_ModuleDoco'!$F84*DetailedEstWeightedValues!$H$109))</f>
        <v>20</v>
      </c>
      <c r="H84" s="369">
        <f>VLOOKUP($A84,DetailedEstWeightedValues!$A$112:$B$115,2,FALSE) * G84</f>
        <v>20</v>
      </c>
      <c r="I84" s="253"/>
      <c r="J84" s="369">
        <f t="shared" si="21"/>
        <v>20</v>
      </c>
      <c r="K84" s="343" t="s">
        <v>402</v>
      </c>
      <c r="L84" s="257" t="s">
        <v>414</v>
      </c>
    </row>
    <row r="85" spans="1:12" s="343" customFormat="1" ht="20.25" customHeight="1">
      <c r="A85" s="257" t="s">
        <v>116</v>
      </c>
      <c r="B85" s="257" t="s">
        <v>397</v>
      </c>
      <c r="C85" s="257" t="s">
        <v>19</v>
      </c>
      <c r="D85" s="257">
        <v>0</v>
      </c>
      <c r="E85" s="257">
        <v>1</v>
      </c>
      <c r="F85" s="257">
        <v>0</v>
      </c>
      <c r="G85" s="369">
        <f>IF(C85="New",('Dtl SE_ModuleDoco'!$D85*DetailedEstWeightedValues!$B$109)+('Dtl SE_ModuleDoco'!$E85*DetailedEstWeightedValues!$C$109)+('Dtl SE_ModuleDoco'!$F85*DetailedEstWeightedValues!$D$109),('Dtl SE_ModuleDoco'!$D85*DetailedEstWeightedValues!$F$109)+('Dtl SE_ModuleDoco'!$E85*DetailedEstWeightedValues!$G$109)+('Dtl SE_ModuleDoco'!$F85*DetailedEstWeightedValues!$H$109))</f>
        <v>20</v>
      </c>
      <c r="H85" s="369">
        <f>VLOOKUP($A85,DetailedEstWeightedValues!$A$112:$B$115,2,FALSE) * G85</f>
        <v>20</v>
      </c>
      <c r="I85" s="253"/>
      <c r="J85" s="369">
        <f t="shared" si="21"/>
        <v>20</v>
      </c>
      <c r="K85" s="343" t="s">
        <v>397</v>
      </c>
      <c r="L85" s="257" t="s">
        <v>414</v>
      </c>
    </row>
    <row r="86" spans="1:12" s="343" customFormat="1" ht="20.25" customHeight="1">
      <c r="A86" s="249" t="s">
        <v>116</v>
      </c>
      <c r="B86" s="249"/>
      <c r="C86" s="249" t="s">
        <v>19</v>
      </c>
      <c r="D86" s="249">
        <v>0</v>
      </c>
      <c r="E86" s="257">
        <v>0</v>
      </c>
      <c r="F86" s="249">
        <v>0</v>
      </c>
      <c r="G86" s="165">
        <f>IF(C86="New",('Dtl SE_ModuleDoco'!$D86*DetailedEstWeightedValues!$B$109)+('Dtl SE_ModuleDoco'!$E86*DetailedEstWeightedValues!$C$109)+('Dtl SE_ModuleDoco'!$F86*DetailedEstWeightedValues!$D$109),('Dtl SE_ModuleDoco'!$D86*DetailedEstWeightedValues!$F$109)+('Dtl SE_ModuleDoco'!$E86*DetailedEstWeightedValues!$G$109)+('Dtl SE_ModuleDoco'!$F86*DetailedEstWeightedValues!$H$109))</f>
        <v>0</v>
      </c>
      <c r="H86" s="165">
        <f>VLOOKUP($A86,DetailedEstWeightedValues!$A$112:$B$115,2,FALSE) * G86</f>
        <v>0</v>
      </c>
      <c r="I86" s="254"/>
      <c r="J86" s="165">
        <f t="shared" si="21"/>
        <v>0</v>
      </c>
      <c r="L86" s="257"/>
    </row>
    <row r="87" spans="1:12" s="343" customFormat="1" ht="20.25" customHeight="1">
      <c r="A87" s="166"/>
      <c r="B87" s="166"/>
      <c r="C87" s="166"/>
      <c r="D87" s="167"/>
      <c r="E87" s="167"/>
      <c r="F87" s="167"/>
      <c r="G87" s="169"/>
      <c r="H87" s="169"/>
      <c r="I87" s="169"/>
      <c r="J87" s="344"/>
      <c r="L87" s="171"/>
    </row>
    <row r="88" spans="1:12" ht="20.25" customHeight="1">
      <c r="A88" s="166"/>
      <c r="B88" s="166"/>
      <c r="C88" s="166"/>
      <c r="D88" s="167"/>
      <c r="E88" s="167"/>
      <c r="F88" s="167"/>
      <c r="G88" s="168"/>
      <c r="H88" s="168"/>
      <c r="I88" s="169"/>
      <c r="J88" s="170"/>
      <c r="L88" s="171"/>
    </row>
    <row r="89" spans="1:12" ht="20.25" customHeight="1">
      <c r="A89" s="166"/>
      <c r="B89" s="166"/>
      <c r="C89" s="166"/>
      <c r="D89" s="167"/>
      <c r="E89" s="167"/>
      <c r="F89" s="167"/>
      <c r="G89" s="168"/>
      <c r="H89" s="168"/>
      <c r="I89" s="169"/>
      <c r="J89" s="177"/>
      <c r="L89" s="171"/>
    </row>
    <row r="90" spans="1:12" ht="34.5" customHeight="1">
      <c r="A90" s="428" t="s">
        <v>334</v>
      </c>
      <c r="B90" s="428"/>
      <c r="C90" s="427"/>
      <c r="D90" s="427"/>
      <c r="E90" s="427"/>
      <c r="F90" s="427"/>
      <c r="G90" s="280">
        <f>G91</f>
        <v>0</v>
      </c>
      <c r="H90" s="280">
        <f>H91</f>
        <v>0</v>
      </c>
      <c r="I90" s="280">
        <f>I91</f>
        <v>6</v>
      </c>
      <c r="J90" s="280">
        <f>SUM(J91)</f>
        <v>6</v>
      </c>
      <c r="K90" s="171"/>
      <c r="L90" s="117"/>
    </row>
    <row r="91" spans="1:12" ht="20.25" customHeight="1">
      <c r="A91" s="249" t="s">
        <v>116</v>
      </c>
      <c r="B91" s="213" t="s">
        <v>240</v>
      </c>
      <c r="C91" s="373"/>
      <c r="D91" s="429"/>
      <c r="E91" s="430"/>
      <c r="F91" s="431"/>
      <c r="G91" s="165">
        <f>C91</f>
        <v>0</v>
      </c>
      <c r="H91" s="165">
        <f>IF(A91="Select a level",0,VLOOKUP($A91,DetailedEstWeightedValues!$A$159:$B$161,2,FALSE) * G91)</f>
        <v>0</v>
      </c>
      <c r="I91" s="254">
        <v>6</v>
      </c>
      <c r="J91" s="165">
        <f>SUM(H91:I91)</f>
        <v>6</v>
      </c>
      <c r="K91" s="171" t="s">
        <v>398</v>
      </c>
      <c r="L91" s="117"/>
    </row>
    <row r="92" spans="1:12" ht="20.25" customHeight="1">
      <c r="A92" s="166"/>
      <c r="B92" s="166"/>
      <c r="C92" s="166"/>
      <c r="D92" s="167"/>
      <c r="E92" s="167"/>
      <c r="F92" s="167"/>
      <c r="G92" s="168"/>
      <c r="H92" s="168"/>
      <c r="I92" s="169"/>
      <c r="J92" s="179"/>
      <c r="L92" s="171"/>
    </row>
    <row r="93" spans="1:12">
      <c r="B93" s="184" t="s">
        <v>36</v>
      </c>
      <c r="C93" s="432" t="s">
        <v>416</v>
      </c>
      <c r="D93" s="433"/>
      <c r="E93" s="433"/>
      <c r="F93" s="433"/>
      <c r="G93" s="433"/>
      <c r="H93" s="433"/>
      <c r="I93" s="433"/>
      <c r="J93" s="434"/>
    </row>
    <row r="94" spans="1:12">
      <c r="C94" s="435"/>
      <c r="D94" s="436"/>
      <c r="E94" s="436"/>
      <c r="F94" s="436"/>
      <c r="G94" s="436"/>
      <c r="H94" s="436"/>
      <c r="I94" s="436"/>
      <c r="J94" s="437"/>
    </row>
    <row r="95" spans="1:12">
      <c r="C95" s="435"/>
      <c r="D95" s="436"/>
      <c r="E95" s="436"/>
      <c r="F95" s="436"/>
      <c r="G95" s="436"/>
      <c r="H95" s="436"/>
      <c r="I95" s="436"/>
      <c r="J95" s="437"/>
    </row>
    <row r="96" spans="1:12">
      <c r="C96" s="435"/>
      <c r="D96" s="436"/>
      <c r="E96" s="436"/>
      <c r="F96" s="436"/>
      <c r="G96" s="436"/>
      <c r="H96" s="436"/>
      <c r="I96" s="436"/>
      <c r="J96" s="437"/>
    </row>
    <row r="97" spans="2:10">
      <c r="C97" s="435"/>
      <c r="D97" s="436"/>
      <c r="E97" s="436"/>
      <c r="F97" s="436"/>
      <c r="G97" s="436"/>
      <c r="H97" s="436"/>
      <c r="I97" s="436"/>
      <c r="J97" s="437"/>
    </row>
    <row r="98" spans="2:10">
      <c r="C98" s="438"/>
      <c r="D98" s="439"/>
      <c r="E98" s="439"/>
      <c r="F98" s="439"/>
      <c r="G98" s="439"/>
      <c r="H98" s="439"/>
      <c r="I98" s="439"/>
      <c r="J98" s="440"/>
    </row>
    <row r="100" spans="2:10">
      <c r="B100" s="184" t="s">
        <v>107</v>
      </c>
      <c r="C100" s="432" t="s">
        <v>417</v>
      </c>
      <c r="D100" s="433"/>
      <c r="E100" s="433"/>
      <c r="F100" s="433"/>
      <c r="G100" s="433"/>
      <c r="H100" s="433"/>
      <c r="I100" s="433"/>
      <c r="J100" s="434"/>
    </row>
    <row r="101" spans="2:10">
      <c r="C101" s="435"/>
      <c r="D101" s="436"/>
      <c r="E101" s="436"/>
      <c r="F101" s="436"/>
      <c r="G101" s="436"/>
      <c r="H101" s="436"/>
      <c r="I101" s="436"/>
      <c r="J101" s="437"/>
    </row>
    <row r="102" spans="2:10">
      <c r="C102" s="435"/>
      <c r="D102" s="436"/>
      <c r="E102" s="436"/>
      <c r="F102" s="436"/>
      <c r="G102" s="436"/>
      <c r="H102" s="436"/>
      <c r="I102" s="436"/>
      <c r="J102" s="437"/>
    </row>
    <row r="103" spans="2:10">
      <c r="C103" s="435"/>
      <c r="D103" s="436"/>
      <c r="E103" s="436"/>
      <c r="F103" s="436"/>
      <c r="G103" s="436"/>
      <c r="H103" s="436"/>
      <c r="I103" s="436"/>
      <c r="J103" s="437"/>
    </row>
    <row r="104" spans="2:10">
      <c r="C104" s="435"/>
      <c r="D104" s="436"/>
      <c r="E104" s="436"/>
      <c r="F104" s="436"/>
      <c r="G104" s="436"/>
      <c r="H104" s="436"/>
      <c r="I104" s="436"/>
      <c r="J104" s="437"/>
    </row>
    <row r="105" spans="2:10">
      <c r="C105" s="438"/>
      <c r="D105" s="439"/>
      <c r="E105" s="439"/>
      <c r="F105" s="439"/>
      <c r="G105" s="439"/>
      <c r="H105" s="439"/>
      <c r="I105" s="439"/>
      <c r="J105" s="440"/>
    </row>
  </sheetData>
  <sheetProtection algorithmName="SHA-512" hashValue="INCkIGJyljOGKYpWRJncRzrE909Ok0qeoxyMtwcnkhSKbe3BI9BJFYH045C3erSsbQfwuXeWXH/5mqijrA/KpA==" saltValue="Pe94yiupGUxFbo7scfcGbg==" spinCount="100000" sheet="1" formatCells="0" formatColumns="0" formatRows="0" insertRows="0" deleteRows="0" selectLockedCells="1"/>
  <protectedRanges>
    <protectedRange sqref="J1:J10 J12:J1048576" name="Range20" securityDescriptor="O:WDG:WDD:(A;;CC;;;WD)"/>
    <protectedRange sqref="H1:H1048576" name="Range19" securityDescriptor="O:WDG:WDD:(A;;CC;;;WD)"/>
    <protectedRange sqref="G1:G1048576 D52:F52 D58:F58 D65:F65 D70:F70 D75:F75 D80:F80" name="Range18" securityDescriptor="O:WDG:WDD:(A;;CC;;;WD)"/>
    <protectedRange algorithmName="SHA-512" hashValue="l3eZLDNivVr3yM+FP0xoxAoJg5tHK+dzYBmCSTIhVrz1N1VY1V5nR86gUePteR19OINlqxxzOBU05mQhnFVhEg==" saltValue="9yLrTSnFnCLpxTt1C+fvJQ==" spinCount="100000" sqref="A70:J70" name="Range11"/>
    <protectedRange algorithmName="SHA-512" hashValue="MFbYGEg+zS7joxCwUnf9BIEHCagm3wJC+bTMkYmn5xauQa/04NYMEt2+j2fraZ0JM2QEf1aERedaiyCmfOnemQ==" saltValue="XvtsXoU47ogxkwMf31/rOQ==" spinCount="100000" sqref="A65:J65" name="Range10"/>
    <protectedRange algorithmName="SHA-512" hashValue="wJeNehp3FZK4MAAvw0OoQEfYltKWfa8CQeuGLXVi17UlyzUjzjnMDK9pTeNR/Ol0qWSjy9fEEKSaP66wQGtZjQ==" saltValue="rbv1PKIr9xUX3okutx/xWA==" spinCount="100000" sqref="A52:J52" name="Range8"/>
    <protectedRange algorithmName="SHA-512" hashValue="4Zrslq+35JJZcl2PoeailXr1vBc1QqeaG8UhwcmBV8ER1wTJgV3DiE9Jz5NS7zyWUWQJibVEk1TqOWQ7lR0+3w==" saltValue="Hp7S8KRURhQsjx0g6CJRXQ==" spinCount="100000" sqref="A47:J47" name="Range7"/>
    <protectedRange algorithmName="SHA-512" hashValue="mgf+6pVy6nKo4clMtLkUdPvifJDv+D1DS1FGRYGkZfSCa/lyCnL7EMOHcJ2RNB//G3rcb6RTN/1tj7/+ka2eAQ==" saltValue="5aTGY/bvzBcEBMVtYz06Uw==" spinCount="100000" sqref="A42:J42"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L39 G36:H41 J36:J41 G43:H46 J43:J46 G48:H51 G53:H57 G59:H64 G66:H69 G71:H74 G76:H79 G81:H91 J48:J91 G13:H25 J13:J25 J27:J34 G27:H34 D52:I52 D58:I58 D65:I65 D70:I70 D75:I75 D80:I80" name="Range9"/>
    <protectedRange algorithmName="SHA-512" hashValue="Gq+M/4RDaNeVqicUCg3f+ud6OnzsEUrV7S9RVRL3U443d627EojalyFpoTMXtDfAm2CduASRlfGevgTPt4tMCQ==" saltValue="F3TWLb2lXiCnMx7a5H7P4g==" spinCount="100000" sqref="A75:J75" name="Range12"/>
    <protectedRange algorithmName="SHA-512" hashValue="YVyZVt1GAK0lF45Bls9v/N7EzBgcGTFw8e0g0LsIZKesuJJi6TbSuit8VCNY0I9hxEv7ylVD4omurVX8yeCxMw==" saltValue="Rh8xsOa4hpgdr15QQPzNzQ==" spinCount="100000" sqref="A80:J80" name="Range13"/>
    <protectedRange algorithmName="SHA-512" hashValue="q+SJCO4KsiHVGUZwarLB4KuzMTb7sFpXFZNgQHlFBGgV04L3fAz/UxDDDKiFdqMgk2lb9FyoWfTJnC3Z6N2YXw==" saltValue="I6wPVb7JfIQDDu5aZ+ShyA==" spinCount="100000" sqref="A58:J58" name="Range14"/>
    <protectedRange sqref="K90:K91" name="Range15"/>
    <protectedRange algorithmName="SHA-512" hashValue="3FV+/a2L51Uzt3BXC93MmKtaIJNqtmbpkD6rECZfxLvdSeXcM1fxIIbeyn1VCEbUXMdgAqfCe3e27j1Xp+x7TA==" saltValue="9NjSaLtzu6Aac5hFDjjt6Q==" spinCount="100000" sqref="K90:K91"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B5:F5"/>
    <mergeCell ref="B11:F11"/>
    <mergeCell ref="A12:C12"/>
    <mergeCell ref="A26:C26"/>
    <mergeCell ref="C93:J98"/>
    <mergeCell ref="A65:C65"/>
    <mergeCell ref="A35:C35"/>
    <mergeCell ref="A42:C42"/>
    <mergeCell ref="A47:C47"/>
    <mergeCell ref="A52:C52"/>
    <mergeCell ref="A58:C58"/>
    <mergeCell ref="A70:C70"/>
    <mergeCell ref="A75:C75"/>
    <mergeCell ref="A80:C80"/>
    <mergeCell ref="C90:F90"/>
    <mergeCell ref="A90:B90"/>
    <mergeCell ref="D91:F91"/>
    <mergeCell ref="C100:J105"/>
  </mergeCells>
  <phoneticPr fontId="0" type="noConversion"/>
  <dataValidations count="4">
    <dataValidation type="list" allowBlank="1" showInputMessage="1" showErrorMessage="1" sqref="C7" xr:uid="{00000000-0002-0000-0200-000000000000}">
      <formula1>"New, Experienced, Expert"</formula1>
    </dataValidation>
    <dataValidation type="list" allowBlank="1" showInputMessage="1" showErrorMessage="1" sqref="C53:C55 C48:C49 C43:C44 C27:C32 C36:C39 C59:C62 C66:C67 C81:C86 C71:C72 C76:C77 C13:C23" xr:uid="{00000000-0002-0000-0200-000001000000}">
      <formula1>"New, Existing"</formula1>
    </dataValidation>
    <dataValidation type="list" allowBlank="1" showInputMessage="1" showErrorMessage="1" sqref="A27:A32 A36:A39 A43:A44 A48:A49 A53:A55 A59:A62 A66:A67 A81:A86 A71:A72 A76:A77 A13:A23" xr:uid="{00000000-0002-0000-0200-000002000000}">
      <formula1>"Select a level, New to Area, Proficient, Expert"</formula1>
    </dataValidation>
    <dataValidation type="list" allowBlank="1" showInputMessage="1" showErrorMessage="1" sqref="A91" xr:uid="{00000000-0002-0000-0200-000003000000}">
      <formula1>"Select a level,New to Area,Proficient,Expert"</formula1>
    </dataValidation>
  </dataValidations>
  <pageMargins left="0.25" right="0.25" top="0.5" bottom="0.5" header="0.3" footer="0.3"/>
  <pageSetup scale="57"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30480</xdr:colOff>
                    <xdr:row>23</xdr:row>
                    <xdr:rowOff>30480</xdr:rowOff>
                  </from>
                  <to>
                    <xdr:col>0</xdr:col>
                    <xdr:colOff>1440180</xdr:colOff>
                    <xdr:row>23</xdr:row>
                    <xdr:rowOff>259080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30480</xdr:colOff>
                    <xdr:row>32</xdr:row>
                    <xdr:rowOff>30480</xdr:rowOff>
                  </from>
                  <to>
                    <xdr:col>0</xdr:col>
                    <xdr:colOff>1440180</xdr:colOff>
                    <xdr:row>32</xdr:row>
                    <xdr:rowOff>259080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30480</xdr:colOff>
                    <xdr:row>39</xdr:row>
                    <xdr:rowOff>30480</xdr:rowOff>
                  </from>
                  <to>
                    <xdr:col>0</xdr:col>
                    <xdr:colOff>1440180</xdr:colOff>
                    <xdr:row>39</xdr:row>
                    <xdr:rowOff>259080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30480</xdr:colOff>
                    <xdr:row>44</xdr:row>
                    <xdr:rowOff>30480</xdr:rowOff>
                  </from>
                  <to>
                    <xdr:col>0</xdr:col>
                    <xdr:colOff>1440180</xdr:colOff>
                    <xdr:row>44</xdr:row>
                    <xdr:rowOff>259080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30480</xdr:colOff>
                    <xdr:row>49</xdr:row>
                    <xdr:rowOff>30480</xdr:rowOff>
                  </from>
                  <to>
                    <xdr:col>0</xdr:col>
                    <xdr:colOff>1440180</xdr:colOff>
                    <xdr:row>49</xdr:row>
                    <xdr:rowOff>259080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30480</xdr:colOff>
                    <xdr:row>55</xdr:row>
                    <xdr:rowOff>30480</xdr:rowOff>
                  </from>
                  <to>
                    <xdr:col>0</xdr:col>
                    <xdr:colOff>1440180</xdr:colOff>
                    <xdr:row>55</xdr:row>
                    <xdr:rowOff>259080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30480</xdr:colOff>
                    <xdr:row>62</xdr:row>
                    <xdr:rowOff>30480</xdr:rowOff>
                  </from>
                  <to>
                    <xdr:col>0</xdr:col>
                    <xdr:colOff>1440180</xdr:colOff>
                    <xdr:row>62</xdr:row>
                    <xdr:rowOff>259080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30480</xdr:colOff>
                    <xdr:row>67</xdr:row>
                    <xdr:rowOff>30480</xdr:rowOff>
                  </from>
                  <to>
                    <xdr:col>0</xdr:col>
                    <xdr:colOff>1440180</xdr:colOff>
                    <xdr:row>67</xdr:row>
                    <xdr:rowOff>259080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30480</xdr:colOff>
                    <xdr:row>72</xdr:row>
                    <xdr:rowOff>30480</xdr:rowOff>
                  </from>
                  <to>
                    <xdr:col>0</xdr:col>
                    <xdr:colOff>1440180</xdr:colOff>
                    <xdr:row>72</xdr:row>
                    <xdr:rowOff>259080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30480</xdr:colOff>
                    <xdr:row>86</xdr:row>
                    <xdr:rowOff>30480</xdr:rowOff>
                  </from>
                  <to>
                    <xdr:col>0</xdr:col>
                    <xdr:colOff>1440180</xdr:colOff>
                    <xdr:row>86</xdr:row>
                    <xdr:rowOff>259080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30480</xdr:colOff>
                    <xdr:row>77</xdr:row>
                    <xdr:rowOff>30480</xdr:rowOff>
                  </from>
                  <to>
                    <xdr:col>0</xdr:col>
                    <xdr:colOff>1440180</xdr:colOff>
                    <xdr:row>77</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7"/>
  <sheetViews>
    <sheetView showRuler="0" topLeftCell="A5" zoomScale="85" zoomScaleNormal="85" zoomScalePageLayoutView="40" workbookViewId="0">
      <selection activeCell="C67" sqref="C67:K67"/>
    </sheetView>
  </sheetViews>
  <sheetFormatPr defaultColWidth="9.44140625" defaultRowHeight="13.8"/>
  <cols>
    <col min="1" max="1" width="33.44140625" style="41" customWidth="1"/>
    <col min="2" max="2" width="57.44140625" style="41" bestFit="1" customWidth="1"/>
    <col min="3" max="3" width="12.44140625" style="41" customWidth="1"/>
    <col min="4" max="4" width="10.44140625" style="41" customWidth="1"/>
    <col min="5" max="5" width="12" style="41" customWidth="1"/>
    <col min="6" max="6" width="14.44140625" style="41" bestFit="1" customWidth="1"/>
    <col min="7" max="7" width="1.44140625" style="41" customWidth="1"/>
    <col min="8" max="8" width="14.44140625" style="41" bestFit="1" customWidth="1"/>
    <col min="9" max="9" width="12.44140625" style="40" bestFit="1" customWidth="1"/>
    <col min="10" max="10" width="11.44140625" style="40" bestFit="1" customWidth="1"/>
    <col min="11" max="11" width="13.44140625" style="40" bestFit="1" customWidth="1"/>
    <col min="12" max="13" width="11.44140625" style="41" customWidth="1"/>
    <col min="14" max="14" width="12.44140625" style="41" customWidth="1"/>
    <col min="15" max="15" width="11.44140625" style="41" customWidth="1"/>
    <col min="16" max="16" width="14.44140625" style="41" bestFit="1" customWidth="1"/>
    <col min="17" max="17" width="3.44140625" style="41" customWidth="1"/>
    <col min="18" max="18" width="21.44140625" style="41" customWidth="1"/>
    <col min="19" max="19" width="9.44140625" style="41" customWidth="1"/>
    <col min="20" max="20" width="10.44140625" style="41" customWidth="1"/>
    <col min="21" max="21" width="9.44140625" style="41" customWidth="1"/>
    <col min="22" max="22" width="18.44140625" style="41" customWidth="1"/>
    <col min="23" max="16384" width="9.44140625" style="41"/>
  </cols>
  <sheetData>
    <row r="1" spans="1:16">
      <c r="A1" s="35" t="str">
        <f>InitialEstimate!A1</f>
        <v>Template Version:</v>
      </c>
      <c r="B1" s="311">
        <f>InitialEstimate!B1</f>
        <v>2.8</v>
      </c>
    </row>
    <row r="2" spans="1:16" s="117" customFormat="1" ht="17.399999999999999">
      <c r="A2" s="223" t="s">
        <v>103</v>
      </c>
      <c r="B2" s="223"/>
    </row>
    <row r="3" spans="1:16" s="117" customFormat="1" ht="13.2"/>
    <row r="4" spans="1:16" ht="17.399999999999999">
      <c r="A4" s="224" t="s">
        <v>110</v>
      </c>
      <c r="B4" s="218" t="str">
        <f>InitialEstimate!F3</f>
        <v>23810 002</v>
      </c>
      <c r="C4" s="117"/>
      <c r="D4" s="117"/>
      <c r="E4" s="117"/>
      <c r="F4" s="117"/>
      <c r="N4" s="42"/>
      <c r="O4" s="42"/>
      <c r="P4" s="122"/>
    </row>
    <row r="5" spans="1:16" ht="51.75" customHeight="1">
      <c r="A5" s="46" t="s">
        <v>20</v>
      </c>
      <c r="B5" s="397" t="s">
        <v>248</v>
      </c>
      <c r="C5" s="397"/>
      <c r="D5" s="397"/>
      <c r="E5" s="397"/>
      <c r="F5" s="397"/>
      <c r="G5" s="54"/>
      <c r="H5" s="54"/>
      <c r="I5" s="54"/>
      <c r="J5" s="54"/>
      <c r="K5" s="54"/>
      <c r="L5" s="54"/>
    </row>
    <row r="6" spans="1:16">
      <c r="A6" s="46" t="s">
        <v>31</v>
      </c>
      <c r="B6" s="249" t="s">
        <v>400</v>
      </c>
      <c r="C6" s="117"/>
      <c r="D6" s="117"/>
      <c r="E6" s="117"/>
      <c r="F6" s="117"/>
    </row>
    <row r="7" spans="1:16">
      <c r="D7" s="54"/>
      <c r="E7" s="54"/>
      <c r="F7" s="54"/>
      <c r="G7" s="54"/>
      <c r="H7" s="54"/>
      <c r="I7" s="56"/>
      <c r="J7" s="56"/>
      <c r="K7" s="56"/>
    </row>
    <row r="8" spans="1:16" ht="32.25" customHeight="1">
      <c r="A8" s="225" t="s">
        <v>66</v>
      </c>
      <c r="B8" s="226" t="s">
        <v>96</v>
      </c>
      <c r="C8" s="450" t="s">
        <v>57</v>
      </c>
      <c r="D8" s="450"/>
      <c r="E8" s="450"/>
      <c r="F8" s="450"/>
      <c r="G8" s="225"/>
      <c r="H8" s="225" t="s">
        <v>94</v>
      </c>
      <c r="I8" s="225" t="s">
        <v>79</v>
      </c>
      <c r="J8" s="225" t="s">
        <v>80</v>
      </c>
      <c r="K8" s="225" t="s">
        <v>81</v>
      </c>
      <c r="M8" s="57"/>
      <c r="N8" s="57"/>
      <c r="O8" s="57"/>
      <c r="P8" s="57"/>
    </row>
    <row r="9" spans="1:16" ht="9" customHeight="1">
      <c r="A9" s="159"/>
      <c r="B9" s="135"/>
      <c r="C9" s="160"/>
      <c r="D9" s="160"/>
      <c r="E9" s="160"/>
      <c r="F9" s="160"/>
      <c r="G9" s="161"/>
      <c r="H9" s="161"/>
      <c r="I9" s="162"/>
      <c r="J9" s="162"/>
      <c r="K9" s="162"/>
      <c r="L9" s="58"/>
      <c r="M9" s="58"/>
      <c r="N9" s="58"/>
      <c r="O9" s="58"/>
      <c r="P9" s="58"/>
    </row>
    <row r="10" spans="1:16" ht="16.2" thickBot="1">
      <c r="A10" s="227"/>
      <c r="B10" s="227"/>
      <c r="C10" s="227"/>
      <c r="D10" s="227"/>
      <c r="E10" s="227"/>
      <c r="F10" s="227"/>
      <c r="G10" s="228"/>
      <c r="H10" s="229">
        <f>SUM(H11,H13,H15,H45,H61)</f>
        <v>339.2</v>
      </c>
      <c r="I10" s="229">
        <f t="shared" ref="I10:J10" si="0">SUM(I11,I13,I15,I45,I61)</f>
        <v>405.95</v>
      </c>
      <c r="J10" s="229">
        <f t="shared" si="0"/>
        <v>91.5</v>
      </c>
      <c r="K10" s="229">
        <f>MROUND(SUM(K11,K13,K15,K45,K61),0.25)</f>
        <v>497.5</v>
      </c>
      <c r="M10" s="57"/>
      <c r="N10" s="57"/>
      <c r="O10" s="57"/>
      <c r="P10" s="57"/>
    </row>
    <row r="11" spans="1:16" ht="20.25" customHeight="1">
      <c r="A11" s="40"/>
      <c r="B11" s="264" t="s">
        <v>173</v>
      </c>
      <c r="C11" s="249">
        <v>0</v>
      </c>
      <c r="D11" s="40"/>
      <c r="E11" s="40"/>
      <c r="F11" s="40"/>
      <c r="G11" s="40"/>
      <c r="H11" s="40"/>
      <c r="K11" s="40">
        <f>C11</f>
        <v>0</v>
      </c>
      <c r="M11" s="40"/>
      <c r="N11" s="40"/>
      <c r="O11" s="40"/>
    </row>
    <row r="12" spans="1:16" ht="20.25" customHeight="1" thickBot="1">
      <c r="A12" s="40"/>
      <c r="B12" s="348"/>
      <c r="C12" s="40"/>
      <c r="D12" s="40"/>
      <c r="E12" s="40"/>
      <c r="F12" s="40"/>
      <c r="G12" s="40"/>
      <c r="H12" s="40"/>
      <c r="M12" s="40"/>
      <c r="N12" s="40"/>
      <c r="O12" s="40"/>
    </row>
    <row r="13" spans="1:16" ht="228.75" customHeight="1">
      <c r="A13" s="40"/>
      <c r="B13" s="349" t="s">
        <v>302</v>
      </c>
      <c r="C13" s="319">
        <v>0</v>
      </c>
      <c r="D13" s="40"/>
      <c r="E13" s="40"/>
      <c r="F13" s="40"/>
      <c r="G13" s="40"/>
      <c r="H13" s="40"/>
      <c r="K13" s="40">
        <f>C13</f>
        <v>0</v>
      </c>
      <c r="M13" s="40"/>
      <c r="N13" s="40"/>
      <c r="O13" s="40"/>
    </row>
    <row r="14" spans="1:16" ht="14.4" thickBot="1">
      <c r="A14" s="159"/>
      <c r="B14" s="135"/>
      <c r="C14" s="160"/>
      <c r="D14" s="160"/>
      <c r="E14" s="160"/>
      <c r="F14" s="160"/>
      <c r="G14" s="161"/>
      <c r="H14" s="185"/>
      <c r="I14" s="185"/>
      <c r="J14" s="185"/>
      <c r="K14" s="185"/>
      <c r="M14" s="40"/>
      <c r="N14" s="40"/>
      <c r="O14" s="40"/>
    </row>
    <row r="15" spans="1:16" ht="20.25" customHeight="1">
      <c r="A15" s="263"/>
      <c r="B15" s="264" t="s">
        <v>82</v>
      </c>
      <c r="C15" s="246">
        <f>SUM(C18)+SUM(C26)+SUM(C34)</f>
        <v>0</v>
      </c>
      <c r="D15" s="246">
        <f>SUM(D18)+SUM(D26)+SUM(D34)</f>
        <v>0</v>
      </c>
      <c r="E15" s="246">
        <f>SUM(E18)+SUM(E26)+SUM(E34)</f>
        <v>0</v>
      </c>
      <c r="F15" s="246">
        <f>SUM(F18)+SUM(F26)+SUM(F34)</f>
        <v>24</v>
      </c>
      <c r="G15" s="265"/>
      <c r="H15" s="246">
        <f>SUM(H17:H42)</f>
        <v>307.2</v>
      </c>
      <c r="I15" s="246">
        <f>SUM(I17:I42)</f>
        <v>371.45</v>
      </c>
      <c r="J15" s="246">
        <f>SUM(J17:J42)</f>
        <v>54</v>
      </c>
      <c r="K15" s="247">
        <f>SUM(K17:K42)</f>
        <v>425.45</v>
      </c>
    </row>
    <row r="16" spans="1:16" ht="20.25" customHeight="1">
      <c r="A16" s="190"/>
      <c r="B16" s="147"/>
      <c r="C16" s="187" t="s">
        <v>53</v>
      </c>
      <c r="D16" s="187" t="s">
        <v>54</v>
      </c>
      <c r="E16" s="187" t="s">
        <v>55</v>
      </c>
      <c r="F16" s="187" t="s">
        <v>56</v>
      </c>
      <c r="G16" s="136"/>
      <c r="H16" s="189"/>
      <c r="I16" s="189"/>
      <c r="J16" s="189"/>
      <c r="K16" s="191"/>
    </row>
    <row r="17" spans="1:12" ht="20.25" customHeight="1">
      <c r="A17" s="316" t="s">
        <v>67</v>
      </c>
      <c r="B17" s="192" t="s">
        <v>219</v>
      </c>
      <c r="C17" s="249">
        <v>0</v>
      </c>
      <c r="D17" s="249">
        <v>4</v>
      </c>
      <c r="E17" s="249">
        <v>0</v>
      </c>
      <c r="F17" s="249">
        <v>0</v>
      </c>
      <c r="G17" s="136"/>
      <c r="H17" s="165">
        <f>(C17*DetailedEstWeightedValues!B146)+(D17*DetailedEstWeightedValues!C146)+(E17*DetailedEstWeightedValues!D146)+(F17*DetailedEstWeightedValues!E146)</f>
        <v>6</v>
      </c>
      <c r="I17" s="165">
        <f>VLOOKUP($A18,DetailedEstWeightedValues!$A$159:$B$161,2,FALSE) * H17</f>
        <v>7.5</v>
      </c>
      <c r="J17" s="249">
        <v>0</v>
      </c>
      <c r="K17" s="193">
        <f>SUM(I17:J17)</f>
        <v>7.5</v>
      </c>
      <c r="L17" s="168"/>
    </row>
    <row r="18" spans="1:12" ht="20.25" customHeight="1">
      <c r="A18" s="316" t="s">
        <v>67</v>
      </c>
      <c r="B18" s="192" t="s">
        <v>145</v>
      </c>
      <c r="C18" s="249">
        <v>0</v>
      </c>
      <c r="D18" s="249">
        <v>0</v>
      </c>
      <c r="E18" s="249">
        <v>0</v>
      </c>
      <c r="F18" s="249">
        <v>20</v>
      </c>
      <c r="H18" s="165">
        <f>(C18*C19*DetailedEstWeightedValues!B147)+(D18*D19*DetailedEstWeightedValues!C147)+(E18*E19*DetailedEstWeightedValues!D147)+(F18*F19*DetailedEstWeightedValues!E147)</f>
        <v>80</v>
      </c>
      <c r="I18" s="165">
        <f>VLOOKUP($A18,DetailedEstWeightedValues!$A$159:$B$161,2,FALSE) * H18</f>
        <v>100</v>
      </c>
      <c r="J18" s="249">
        <v>30</v>
      </c>
      <c r="K18" s="193">
        <f>SUM(I18:J18)</f>
        <v>130</v>
      </c>
    </row>
    <row r="19" spans="1:12" ht="20.25" customHeight="1">
      <c r="A19" s="316" t="s">
        <v>67</v>
      </c>
      <c r="B19" s="192" t="s">
        <v>144</v>
      </c>
      <c r="C19" s="249">
        <v>0</v>
      </c>
      <c r="D19" s="249">
        <v>0</v>
      </c>
      <c r="E19" s="249">
        <v>0</v>
      </c>
      <c r="F19" s="249">
        <v>1</v>
      </c>
      <c r="H19" s="168"/>
      <c r="I19" s="168"/>
      <c r="J19" s="168"/>
      <c r="K19" s="194"/>
    </row>
    <row r="20" spans="1:12" ht="20.25" customHeight="1">
      <c r="A20" s="316" t="s">
        <v>67</v>
      </c>
      <c r="B20" s="192" t="s">
        <v>83</v>
      </c>
      <c r="C20" s="195"/>
      <c r="D20" s="196"/>
      <c r="E20" s="196"/>
      <c r="F20" s="197"/>
      <c r="H20" s="165">
        <f>(C18*C19*DetailedEstWeightedValues!B148)+(D18*D19*DetailedEstWeightedValues!C148)+(E18*E19*DetailedEstWeightedValues!D148)+(F18*F19*DetailedEstWeightedValues!E148)</f>
        <v>20</v>
      </c>
      <c r="I20" s="165">
        <f>VLOOKUP($A20,DetailedEstWeightedValues!$A$159:$B$161,2,FALSE) * H20</f>
        <v>25</v>
      </c>
      <c r="J20" s="249">
        <v>0</v>
      </c>
      <c r="K20" s="193">
        <f>SUM(I20:J20)</f>
        <v>25</v>
      </c>
      <c r="L20" s="168"/>
    </row>
    <row r="21" spans="1:12" ht="20.25" customHeight="1">
      <c r="A21" s="316" t="s">
        <v>67</v>
      </c>
      <c r="B21" s="192" t="s">
        <v>215</v>
      </c>
      <c r="C21" s="198"/>
      <c r="D21" s="160"/>
      <c r="E21" s="160"/>
      <c r="F21" s="199"/>
      <c r="H21" s="165">
        <f>(C18*C19*DetailedEstWeightedValues!B149)+(D18*D19*DetailedEstWeightedValues!C149)+(E18*E19*DetailedEstWeightedValues!D149)+(F18*F19*DetailedEstWeightedValues!E149)</f>
        <v>10</v>
      </c>
      <c r="I21" s="165">
        <f>VLOOKUP($A21,DetailedEstWeightedValues!$A$159:$B$161,2,FALSE) * H21</f>
        <v>12.5</v>
      </c>
      <c r="J21" s="249">
        <v>0</v>
      </c>
      <c r="K21" s="193">
        <f>SUM(I21:J21)</f>
        <v>12.5</v>
      </c>
    </row>
    <row r="22" spans="1:12" ht="20.25" customHeight="1">
      <c r="A22" s="316" t="s">
        <v>67</v>
      </c>
      <c r="B22" s="192" t="s">
        <v>212</v>
      </c>
      <c r="C22" s="160"/>
      <c r="D22" s="160"/>
      <c r="E22" s="160"/>
      <c r="F22" s="199"/>
      <c r="H22" s="165">
        <f>(C18*C19*DetailedEstWeightedValues!B150)+(D18*D19*DetailedEstWeightedValues!C150)+(E18*E19*DetailedEstWeightedValues!D150)+(F18*F19*DetailedEstWeightedValues!E150)</f>
        <v>120</v>
      </c>
      <c r="I22" s="165">
        <f>VLOOKUP($A22,DetailedEstWeightedValues!$A$159:$B$161,2,FALSE) * H22</f>
        <v>150</v>
      </c>
      <c r="J22" s="249">
        <v>0</v>
      </c>
      <c r="K22" s="193">
        <f>SUM(I22:J22)</f>
        <v>150</v>
      </c>
    </row>
    <row r="23" spans="1:12" ht="20.25" customHeight="1">
      <c r="A23" s="186" t="s">
        <v>67</v>
      </c>
      <c r="B23" s="192" t="s">
        <v>143</v>
      </c>
      <c r="C23" s="200"/>
      <c r="D23" s="201"/>
      <c r="E23" s="201"/>
      <c r="F23" s="202"/>
      <c r="H23" s="165">
        <f>SUM(H18,H21:H22)*0.1</f>
        <v>21</v>
      </c>
      <c r="I23" s="165">
        <f>VLOOKUP($A23,DetailedEstWeightedValues!$A$159:$B$161,2,FALSE) * H23</f>
        <v>26.25</v>
      </c>
      <c r="J23" s="249">
        <v>0</v>
      </c>
      <c r="K23" s="193">
        <f>SUM(I23:J23)</f>
        <v>26.25</v>
      </c>
      <c r="L23" s="168"/>
    </row>
    <row r="24" spans="1:12">
      <c r="A24" s="203"/>
      <c r="B24" s="135"/>
      <c r="C24" s="160"/>
      <c r="D24" s="160"/>
      <c r="E24" s="160"/>
      <c r="F24" s="160"/>
      <c r="G24" s="161"/>
      <c r="H24" s="185"/>
      <c r="I24" s="185"/>
      <c r="J24" s="185"/>
      <c r="K24" s="204"/>
    </row>
    <row r="25" spans="1:12" ht="18.75" customHeight="1">
      <c r="A25" s="316" t="s">
        <v>116</v>
      </c>
      <c r="B25" s="192" t="s">
        <v>219</v>
      </c>
      <c r="C25" s="249">
        <v>0</v>
      </c>
      <c r="D25" s="249">
        <v>0</v>
      </c>
      <c r="E25" s="249">
        <v>0</v>
      </c>
      <c r="F25" s="249">
        <v>0</v>
      </c>
      <c r="G25" s="136"/>
      <c r="H25" s="165">
        <f>(C25*DetailedEstWeightedValues!B146)+(D25*DetailedEstWeightedValues!C146)+(E25*DetailedEstWeightedValues!D146)+(F25*DetailedEstWeightedValues!E146)</f>
        <v>0</v>
      </c>
      <c r="I25" s="165">
        <f>VLOOKUP($A26,DetailedEstWeightedValues!$A$159:$B$161,2,FALSE) * H25</f>
        <v>0</v>
      </c>
      <c r="J25" s="249">
        <v>0</v>
      </c>
      <c r="K25" s="193">
        <f>SUM(I25:J25)</f>
        <v>0</v>
      </c>
    </row>
    <row r="26" spans="1:12" ht="20.25" customHeight="1">
      <c r="A26" s="316" t="s">
        <v>116</v>
      </c>
      <c r="B26" s="192" t="s">
        <v>146</v>
      </c>
      <c r="C26" s="249">
        <v>0</v>
      </c>
      <c r="D26" s="249">
        <v>0</v>
      </c>
      <c r="E26" s="249">
        <v>0</v>
      </c>
      <c r="F26" s="249">
        <v>4</v>
      </c>
      <c r="H26" s="165">
        <f>(C26*C27*DetailedEstWeightedValues!B147)+(D26*D27*DetailedEstWeightedValues!C147)+(E26*E27*DetailedEstWeightedValues!D147)+(F26*F27*DetailedEstWeightedValues!E147)</f>
        <v>16</v>
      </c>
      <c r="I26" s="165">
        <f>VLOOKUP($A26,DetailedEstWeightedValues!$A$159:$B$161,2,FALSE) * H26</f>
        <v>16</v>
      </c>
      <c r="J26" s="249">
        <v>24</v>
      </c>
      <c r="K26" s="193">
        <f>SUM(I26:J26)</f>
        <v>40</v>
      </c>
      <c r="L26" s="168"/>
    </row>
    <row r="27" spans="1:12" ht="20.25" customHeight="1">
      <c r="A27" s="316" t="s">
        <v>116</v>
      </c>
      <c r="B27" s="192" t="s">
        <v>147</v>
      </c>
      <c r="C27" s="249">
        <v>0</v>
      </c>
      <c r="D27" s="249">
        <v>0</v>
      </c>
      <c r="E27" s="249">
        <v>0</v>
      </c>
      <c r="F27" s="249">
        <v>1</v>
      </c>
      <c r="H27" s="168"/>
      <c r="I27" s="168"/>
      <c r="J27" s="168"/>
      <c r="K27" s="194"/>
    </row>
    <row r="28" spans="1:12" ht="20.25" customHeight="1">
      <c r="A28" s="316" t="s">
        <v>116</v>
      </c>
      <c r="B28" s="192" t="s">
        <v>117</v>
      </c>
      <c r="C28" s="195"/>
      <c r="D28" s="196"/>
      <c r="E28" s="196"/>
      <c r="F28" s="197"/>
      <c r="H28" s="165">
        <f>(C26*C27*DetailedEstWeightedValues!B148)+(D26*D27*DetailedEstWeightedValues!C148)+(E26*E27*DetailedEstWeightedValues!D148)+(F26*F27*DetailedEstWeightedValues!E148)</f>
        <v>4</v>
      </c>
      <c r="I28" s="165">
        <f>VLOOKUP($A28,DetailedEstWeightedValues!$A$159:$B$161,2,FALSE) * H28</f>
        <v>4</v>
      </c>
      <c r="J28" s="249">
        <v>0</v>
      </c>
      <c r="K28" s="193">
        <f>SUM(I28:J28)</f>
        <v>4</v>
      </c>
    </row>
    <row r="29" spans="1:12" ht="20.25" customHeight="1">
      <c r="A29" s="316" t="s">
        <v>116</v>
      </c>
      <c r="B29" s="192" t="s">
        <v>216</v>
      </c>
      <c r="C29" s="198"/>
      <c r="D29" s="160"/>
      <c r="E29" s="160"/>
      <c r="F29" s="199"/>
      <c r="H29" s="165">
        <f>(C26*C27*DetailedEstWeightedValues!B149)+(D26*D27*DetailedEstWeightedValues!C149)+(E26*E27*DetailedEstWeightedValues!D149)+(F26*F27*DetailedEstWeightedValues!E149)</f>
        <v>2</v>
      </c>
      <c r="I29" s="165">
        <f>VLOOKUP($A29,DetailedEstWeightedValues!$A$159:$B$161,2,FALSE) * H29</f>
        <v>2</v>
      </c>
      <c r="J29" s="249">
        <v>0</v>
      </c>
      <c r="K29" s="193">
        <f>SUM(I29:J29)</f>
        <v>2</v>
      </c>
      <c r="L29" s="168"/>
    </row>
    <row r="30" spans="1:12" ht="20.25" customHeight="1">
      <c r="A30" s="316" t="s">
        <v>116</v>
      </c>
      <c r="B30" s="192" t="s">
        <v>213</v>
      </c>
      <c r="C30" s="160"/>
      <c r="D30" s="160"/>
      <c r="E30" s="160"/>
      <c r="F30" s="199"/>
      <c r="H30" s="165">
        <f>(C26*C27*DetailedEstWeightedValues!B150)+(D26*D27*DetailedEstWeightedValues!C150)+(E26*E27*DetailedEstWeightedValues!D150)+(F26*F27*DetailedEstWeightedValues!E150)</f>
        <v>24</v>
      </c>
      <c r="I30" s="165">
        <f>VLOOKUP($A30,DetailedEstWeightedValues!$A$159:$B$161,2,FALSE) * H30</f>
        <v>24</v>
      </c>
      <c r="J30" s="249">
        <v>0</v>
      </c>
      <c r="K30" s="193">
        <f>SUM(I30:J30)</f>
        <v>24</v>
      </c>
      <c r="L30" s="168"/>
    </row>
    <row r="31" spans="1:12" ht="20.25" customHeight="1">
      <c r="A31" s="316" t="s">
        <v>116</v>
      </c>
      <c r="B31" s="192" t="s">
        <v>148</v>
      </c>
      <c r="C31" s="200"/>
      <c r="D31" s="201"/>
      <c r="E31" s="201"/>
      <c r="F31" s="202"/>
      <c r="H31" s="165">
        <f>SUM(H26,H29:H30)*0.1</f>
        <v>4.2</v>
      </c>
      <c r="I31" s="165">
        <f>VLOOKUP($A31,DetailedEstWeightedValues!$A$159:$B$161,2,FALSE) * H31</f>
        <v>4.2</v>
      </c>
      <c r="J31" s="249">
        <v>0</v>
      </c>
      <c r="K31" s="193">
        <f>SUM(I31:J31)</f>
        <v>4.2</v>
      </c>
      <c r="L31" s="168"/>
    </row>
    <row r="32" spans="1:12">
      <c r="A32" s="203"/>
      <c r="B32" s="135"/>
      <c r="C32" s="160"/>
      <c r="D32" s="160"/>
      <c r="E32" s="160"/>
      <c r="F32" s="160"/>
      <c r="G32" s="161"/>
      <c r="H32" s="185"/>
      <c r="I32" s="185"/>
      <c r="J32" s="205"/>
      <c r="K32" s="204"/>
    </row>
    <row r="33" spans="1:16" ht="18" customHeight="1">
      <c r="A33" s="377" t="s">
        <v>69</v>
      </c>
      <c r="B33" s="192" t="s">
        <v>219</v>
      </c>
      <c r="C33" s="249">
        <v>0</v>
      </c>
      <c r="D33" s="249">
        <v>0</v>
      </c>
      <c r="E33" s="249">
        <v>0</v>
      </c>
      <c r="F33" s="249">
        <v>0</v>
      </c>
      <c r="G33" s="136"/>
      <c r="H33" s="165">
        <f>(C33*DetailedEstWeightedValues!B146)+(D33*DetailedEstWeightedValues!C146)+(E33*DetailedEstWeightedValues!D146)+(F33*DetailedEstWeightedValues!E146)</f>
        <v>0</v>
      </c>
      <c r="I33" s="165">
        <f>VLOOKUP($A34,DetailedEstWeightedValues!$A$159:$B$161,2,FALSE) * H33</f>
        <v>0</v>
      </c>
      <c r="J33" s="249">
        <v>0</v>
      </c>
      <c r="K33" s="193">
        <f>SUM(I33:J33)</f>
        <v>0</v>
      </c>
    </row>
    <row r="34" spans="1:16" ht="20.25" customHeight="1">
      <c r="A34" s="377" t="s">
        <v>69</v>
      </c>
      <c r="B34" s="192" t="s">
        <v>149</v>
      </c>
      <c r="C34" s="249">
        <v>0</v>
      </c>
      <c r="D34" s="249">
        <v>0</v>
      </c>
      <c r="E34" s="249">
        <v>0</v>
      </c>
      <c r="F34" s="249">
        <v>0</v>
      </c>
      <c r="H34" s="165">
        <f>(C34*C35*DetailedEstWeightedValues!B147)+(D34*D35*DetailedEstWeightedValues!C147)+(E34*E35*DetailedEstWeightedValues!D147)+(F34*F35*DetailedEstWeightedValues!E147)</f>
        <v>0</v>
      </c>
      <c r="I34" s="165">
        <f>VLOOKUP($A34,DetailedEstWeightedValues!$A$159:$B$161,2,FALSE) * H34</f>
        <v>0</v>
      </c>
      <c r="J34" s="249">
        <v>0</v>
      </c>
      <c r="K34" s="193">
        <f>SUM(I34:J34)</f>
        <v>0</v>
      </c>
      <c r="M34" s="40"/>
      <c r="N34" s="40"/>
      <c r="O34" s="40"/>
      <c r="P34" s="40"/>
    </row>
    <row r="35" spans="1:16" ht="20.25" customHeight="1">
      <c r="A35" s="377" t="s">
        <v>69</v>
      </c>
      <c r="B35" s="192" t="s">
        <v>150</v>
      </c>
      <c r="C35" s="249">
        <v>0</v>
      </c>
      <c r="D35" s="249">
        <v>0</v>
      </c>
      <c r="E35" s="249">
        <v>0</v>
      </c>
      <c r="F35" s="249">
        <v>0</v>
      </c>
      <c r="H35" s="168"/>
      <c r="I35" s="168"/>
      <c r="J35" s="168"/>
      <c r="K35" s="194"/>
      <c r="L35" s="58"/>
      <c r="M35" s="40"/>
      <c r="N35" s="40"/>
      <c r="O35" s="40"/>
      <c r="P35" s="40"/>
    </row>
    <row r="36" spans="1:16" ht="20.25" customHeight="1">
      <c r="A36" s="377" t="s">
        <v>69</v>
      </c>
      <c r="B36" s="192" t="s">
        <v>84</v>
      </c>
      <c r="C36" s="195"/>
      <c r="D36" s="196"/>
      <c r="E36" s="196"/>
      <c r="F36" s="197"/>
      <c r="H36" s="165">
        <f>(C34*C35*DetailedEstWeightedValues!B148)+(D34*D35*DetailedEstWeightedValues!C148)+(E34*E35*DetailedEstWeightedValues!D148)+(F34*F35*DetailedEstWeightedValues!E148)</f>
        <v>0</v>
      </c>
      <c r="I36" s="165">
        <f>VLOOKUP($A36,DetailedEstWeightedValues!$A$159:$B$161,2,FALSE) * H36</f>
        <v>0</v>
      </c>
      <c r="J36" s="249">
        <v>0</v>
      </c>
      <c r="K36" s="193">
        <f>SUM(I36:J36)</f>
        <v>0</v>
      </c>
      <c r="L36" s="58"/>
      <c r="M36" s="40"/>
      <c r="N36" s="40"/>
      <c r="O36" s="40"/>
      <c r="P36" s="40"/>
    </row>
    <row r="37" spans="1:16" ht="20.25" customHeight="1">
      <c r="A37" s="377" t="s">
        <v>69</v>
      </c>
      <c r="B37" s="192" t="s">
        <v>217</v>
      </c>
      <c r="C37" s="198"/>
      <c r="D37" s="160"/>
      <c r="E37" s="160"/>
      <c r="F37" s="199"/>
      <c r="H37" s="165">
        <f>(C34*C35*DetailedEstWeightedValues!B149)+(D34*D35*DetailedEstWeightedValues!C149)+(E34*E35*DetailedEstWeightedValues!D149)+(F34*F35*DetailedEstWeightedValues!E149)</f>
        <v>0</v>
      </c>
      <c r="I37" s="165">
        <f>VLOOKUP($A37,DetailedEstWeightedValues!$A$159:$B$161,2,FALSE) * H37</f>
        <v>0</v>
      </c>
      <c r="J37" s="249">
        <v>0</v>
      </c>
      <c r="K37" s="193">
        <f>SUM(I37:J37)</f>
        <v>0</v>
      </c>
      <c r="L37" s="58"/>
      <c r="M37" s="40"/>
      <c r="N37" s="40"/>
      <c r="O37" s="40"/>
      <c r="P37" s="40"/>
    </row>
    <row r="38" spans="1:16" ht="20.25" customHeight="1">
      <c r="A38" s="377" t="s">
        <v>69</v>
      </c>
      <c r="B38" s="192" t="s">
        <v>214</v>
      </c>
      <c r="C38" s="160"/>
      <c r="D38" s="160"/>
      <c r="E38" s="160"/>
      <c r="F38" s="160"/>
      <c r="G38" s="206"/>
      <c r="H38" s="207">
        <f>(C34*C35*DetailedEstWeightedValues!B150)+(D34*D35*DetailedEstWeightedValues!C150)+(E34*E35*DetailedEstWeightedValues!D150)+(F34*F35*DetailedEstWeightedValues!E150)</f>
        <v>0</v>
      </c>
      <c r="I38" s="165">
        <f>VLOOKUP($A38,DetailedEstWeightedValues!$A$159:$B$161,2,FALSE) * H38</f>
        <v>0</v>
      </c>
      <c r="J38" s="249">
        <v>0</v>
      </c>
      <c r="K38" s="193">
        <f>SUM(I38:J38)</f>
        <v>0</v>
      </c>
    </row>
    <row r="39" spans="1:16" ht="20.25" customHeight="1" thickBot="1">
      <c r="A39" s="378" t="s">
        <v>69</v>
      </c>
      <c r="B39" s="208" t="s">
        <v>151</v>
      </c>
      <c r="C39" s="209"/>
      <c r="D39" s="209"/>
      <c r="E39" s="209"/>
      <c r="F39" s="210"/>
      <c r="G39" s="211"/>
      <c r="H39" s="183">
        <f>SUM(H34,H37:H38)*0.1</f>
        <v>0</v>
      </c>
      <c r="I39" s="183">
        <f>VLOOKUP($A39,DetailedEstWeightedValues!$A$159:$B$161,2,FALSE) * H39</f>
        <v>0</v>
      </c>
      <c r="J39" s="364">
        <v>0</v>
      </c>
      <c r="K39" s="212">
        <f>SUM(I39:J39)</f>
        <v>0</v>
      </c>
    </row>
    <row r="40" spans="1:16" ht="6" customHeight="1">
      <c r="A40" s="159"/>
      <c r="B40" s="135"/>
      <c r="C40" s="160"/>
      <c r="D40" s="160"/>
      <c r="E40" s="160"/>
      <c r="F40" s="160"/>
      <c r="G40" s="161"/>
      <c r="H40" s="185"/>
      <c r="I40" s="185"/>
      <c r="J40" s="185"/>
      <c r="K40" s="185"/>
    </row>
    <row r="41" spans="1:16" ht="18" customHeight="1">
      <c r="B41" s="147"/>
      <c r="C41" s="188"/>
      <c r="D41" s="188"/>
      <c r="E41" s="188"/>
      <c r="F41" s="188"/>
      <c r="G41" s="136"/>
      <c r="H41" s="189"/>
      <c r="I41" s="189"/>
      <c r="J41" s="189"/>
      <c r="K41" s="189"/>
    </row>
    <row r="42" spans="1:16" ht="20.25" customHeight="1">
      <c r="A42" s="165" t="s">
        <v>116</v>
      </c>
      <c r="B42" s="213" t="s">
        <v>58</v>
      </c>
      <c r="C42" s="165">
        <v>0</v>
      </c>
      <c r="D42" s="165">
        <v>0</v>
      </c>
      <c r="E42" s="165">
        <v>0</v>
      </c>
      <c r="F42" s="165">
        <v>0</v>
      </c>
      <c r="H42" s="165">
        <f>(C42*DetailedEstWeightedValues!B151)+(D42*DetailedEstWeightedValues!C151)+(E42*DetailedEstWeightedValues!D151)+(F42*DetailedEstWeightedValues!E151)</f>
        <v>0</v>
      </c>
      <c r="I42" s="165">
        <f>VLOOKUP($A42,DetailedEstWeightedValues!$A$159:$B$161,2,FALSE) * H42</f>
        <v>0</v>
      </c>
      <c r="J42" s="165">
        <v>0</v>
      </c>
      <c r="K42" s="165">
        <f>MROUND(SUM(I42:J42),0.25)</f>
        <v>0</v>
      </c>
    </row>
    <row r="43" spans="1:16" ht="20.25" customHeight="1">
      <c r="B43" s="147"/>
      <c r="C43" s="129"/>
      <c r="D43" s="129"/>
      <c r="H43" s="168"/>
      <c r="I43" s="168"/>
      <c r="J43" s="168"/>
      <c r="K43" s="168"/>
    </row>
    <row r="44" spans="1:16" ht="6" customHeight="1" thickBot="1">
      <c r="A44" s="159"/>
      <c r="B44" s="135"/>
      <c r="C44" s="160"/>
      <c r="D44" s="160"/>
      <c r="E44" s="160"/>
      <c r="F44" s="160"/>
      <c r="G44" s="161"/>
      <c r="H44" s="185"/>
      <c r="I44" s="185"/>
      <c r="J44" s="185"/>
      <c r="K44" s="185"/>
    </row>
    <row r="45" spans="1:16" ht="20.25" customHeight="1">
      <c r="A45" s="263"/>
      <c r="B45" s="264" t="s">
        <v>85</v>
      </c>
      <c r="C45" s="266">
        <f>SUM(C47:C57)</f>
        <v>0</v>
      </c>
      <c r="D45" s="266">
        <f>SUM(D47:D57)</f>
        <v>0</v>
      </c>
      <c r="E45" s="266">
        <f>SUM(E47:E57)</f>
        <v>0</v>
      </c>
      <c r="F45" s="266">
        <f>SUM(F47:F57)</f>
        <v>0</v>
      </c>
      <c r="G45" s="265"/>
      <c r="H45" s="246">
        <f>SUM(H47:H57)</f>
        <v>20</v>
      </c>
      <c r="I45" s="246">
        <f t="shared" ref="I45:J45" si="1">SUM(I47:I57)</f>
        <v>22.5</v>
      </c>
      <c r="J45" s="246">
        <f t="shared" si="1"/>
        <v>37.5</v>
      </c>
      <c r="K45" s="247">
        <f t="shared" ref="K45" si="2">MROUND(SUM(K47:K57),0.25)</f>
        <v>60</v>
      </c>
    </row>
    <row r="46" spans="1:16" ht="20.25" customHeight="1">
      <c r="A46" s="214"/>
      <c r="B46" s="215" t="s">
        <v>259</v>
      </c>
      <c r="C46" s="187" t="s">
        <v>53</v>
      </c>
      <c r="D46" s="187" t="s">
        <v>54</v>
      </c>
      <c r="E46" s="187" t="s">
        <v>55</v>
      </c>
      <c r="F46" s="187" t="s">
        <v>56</v>
      </c>
      <c r="H46" s="168"/>
      <c r="I46" s="168"/>
      <c r="J46" s="168"/>
      <c r="K46" s="194"/>
    </row>
    <row r="47" spans="1:16" ht="20.25" customHeight="1">
      <c r="A47" s="316" t="s">
        <v>67</v>
      </c>
      <c r="B47" s="192" t="s">
        <v>59</v>
      </c>
      <c r="C47" s="249">
        <v>0</v>
      </c>
      <c r="D47" s="249" t="s">
        <v>418</v>
      </c>
      <c r="E47" s="249">
        <v>0</v>
      </c>
      <c r="F47" s="249">
        <v>0</v>
      </c>
      <c r="H47" s="165">
        <f>IF(C47="x",DetailedEstWeightedValues!$B153,"0")+IF(D47="x",DetailedEstWeightedValues!$C153,"0")+IF(E47="x",DetailedEstWeightedValues!$D153,"0")+IF(F47="x",DetailedEstWeightedValues!$E153,"0")</f>
        <v>10</v>
      </c>
      <c r="I47" s="165">
        <f>VLOOKUP($A47,DetailedEstWeightedValues!$A$159:$B$161,2,FALSE) * H47</f>
        <v>12.5</v>
      </c>
      <c r="J47" s="249">
        <v>27.5</v>
      </c>
      <c r="K47" s="193">
        <f>SUM(I47:J47)</f>
        <v>40</v>
      </c>
    </row>
    <row r="48" spans="1:16" ht="20.25" customHeight="1">
      <c r="A48" s="316" t="s">
        <v>67</v>
      </c>
      <c r="B48" s="192" t="s">
        <v>60</v>
      </c>
      <c r="C48" s="249">
        <v>0</v>
      </c>
      <c r="D48" s="249">
        <v>0</v>
      </c>
      <c r="E48" s="249">
        <v>0</v>
      </c>
      <c r="F48" s="249">
        <v>0</v>
      </c>
      <c r="H48" s="165">
        <f>IF(C48="x",DetailedEstWeightedValues!$B154,"0")+IF(D48="x",DetailedEstWeightedValues!$C154,"0")+IF(E48="x",DetailedEstWeightedValues!$D154,"0")+IF(F48="x",DetailedEstWeightedValues!$E154,"0")</f>
        <v>0</v>
      </c>
      <c r="I48" s="165">
        <f>VLOOKUP($A48,DetailedEstWeightedValues!$A$159:$B$161,2,FALSE) * H48</f>
        <v>0</v>
      </c>
      <c r="J48" s="249">
        <v>0</v>
      </c>
      <c r="K48" s="193">
        <f>SUM(I48:J48)</f>
        <v>0</v>
      </c>
    </row>
    <row r="49" spans="1:16383" ht="20.25" customHeight="1">
      <c r="A49" s="316" t="s">
        <v>67</v>
      </c>
      <c r="B49" s="192" t="s">
        <v>61</v>
      </c>
      <c r="C49" s="249">
        <v>0</v>
      </c>
      <c r="D49" s="249">
        <v>0</v>
      </c>
      <c r="E49" s="249">
        <v>0</v>
      </c>
      <c r="F49" s="249">
        <v>0</v>
      </c>
      <c r="H49" s="165">
        <f>IF(C49="x",DetailedEstWeightedValues!$B155,"0")+IF(D49="x",DetailedEstWeightedValues!$C155,"0")+IF(E49="x",DetailedEstWeightedValues!$D155,"0")+IF(F49="x",DetailedEstWeightedValues!$E155,"0")</f>
        <v>0</v>
      </c>
      <c r="I49" s="165">
        <f>VLOOKUP($A49,DetailedEstWeightedValues!$A$159:$B$161,2,FALSE) * H49</f>
        <v>0</v>
      </c>
      <c r="J49" s="249">
        <v>0</v>
      </c>
      <c r="K49" s="193">
        <f>SUM(I49:J49)</f>
        <v>0</v>
      </c>
    </row>
    <row r="50" spans="1:16383" ht="7.5" customHeight="1">
      <c r="A50" s="203"/>
      <c r="B50" s="135"/>
      <c r="C50" s="318"/>
      <c r="D50" s="318"/>
      <c r="E50" s="318"/>
      <c r="F50" s="318"/>
      <c r="G50" s="161"/>
      <c r="H50" s="185"/>
      <c r="I50" s="185"/>
      <c r="J50" s="185"/>
      <c r="K50" s="204"/>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8"/>
      <c r="AQ50" s="138"/>
      <c r="AR50" s="138"/>
      <c r="AS50" s="138"/>
      <c r="AT50" s="138"/>
      <c r="AU50" s="138"/>
      <c r="AV50" s="138"/>
      <c r="AW50" s="138"/>
      <c r="AX50" s="138"/>
      <c r="AY50" s="138"/>
      <c r="AZ50" s="138"/>
      <c r="BA50" s="138"/>
      <c r="BB50" s="138"/>
      <c r="BC50" s="138"/>
      <c r="BD50" s="138"/>
      <c r="BE50" s="138"/>
      <c r="BF50" s="138"/>
      <c r="BG50" s="138"/>
      <c r="BH50" s="138"/>
      <c r="BI50" s="138"/>
      <c r="BJ50" s="138"/>
      <c r="BK50" s="138"/>
      <c r="BL50" s="138"/>
      <c r="BM50" s="138"/>
      <c r="BN50" s="138"/>
      <c r="BO50" s="138"/>
      <c r="BP50" s="138"/>
      <c r="BQ50" s="138"/>
      <c r="BR50" s="138"/>
      <c r="BS50" s="138"/>
      <c r="BT50" s="138"/>
      <c r="BU50" s="138"/>
      <c r="BV50" s="138"/>
      <c r="BW50" s="138"/>
      <c r="BX50" s="138"/>
      <c r="BY50" s="138"/>
      <c r="BZ50" s="138"/>
      <c r="CA50" s="138"/>
      <c r="CB50" s="138"/>
      <c r="CC50" s="138"/>
      <c r="CD50" s="138"/>
      <c r="CE50" s="138"/>
      <c r="CF50" s="138"/>
      <c r="CG50" s="138"/>
      <c r="CH50" s="138"/>
      <c r="CI50" s="138"/>
      <c r="CJ50" s="138"/>
      <c r="CK50" s="138"/>
      <c r="CL50" s="138"/>
      <c r="CM50" s="138"/>
      <c r="CN50" s="138"/>
      <c r="CO50" s="138"/>
      <c r="CP50" s="138"/>
      <c r="CQ50" s="138"/>
      <c r="CR50" s="138"/>
      <c r="CS50" s="138"/>
      <c r="CT50" s="138"/>
      <c r="CU50" s="138"/>
      <c r="CV50" s="138"/>
      <c r="CW50" s="138"/>
      <c r="CX50" s="138"/>
      <c r="CY50" s="138"/>
      <c r="CZ50" s="138"/>
      <c r="DA50" s="138"/>
      <c r="DB50" s="138"/>
      <c r="DC50" s="138"/>
      <c r="DD50" s="138"/>
      <c r="DE50" s="138"/>
      <c r="DF50" s="138"/>
      <c r="DG50" s="138"/>
      <c r="DH50" s="138"/>
      <c r="DI50" s="138"/>
      <c r="DJ50" s="138"/>
      <c r="DK50" s="138"/>
      <c r="DL50" s="138"/>
      <c r="DM50" s="138"/>
      <c r="DN50" s="138"/>
      <c r="DO50" s="138"/>
      <c r="DP50" s="138"/>
      <c r="DQ50" s="138"/>
      <c r="DR50" s="138"/>
      <c r="DS50" s="138"/>
      <c r="DT50" s="138"/>
      <c r="DU50" s="138"/>
      <c r="DV50" s="138"/>
      <c r="DW50" s="138"/>
      <c r="DX50" s="138"/>
      <c r="DY50" s="138"/>
      <c r="DZ50" s="138"/>
      <c r="EA50" s="138"/>
      <c r="EB50" s="138"/>
      <c r="EC50" s="138"/>
      <c r="ED50" s="138"/>
      <c r="EE50" s="138"/>
      <c r="EF50" s="138"/>
      <c r="EG50" s="138"/>
      <c r="EH50" s="138"/>
      <c r="EI50" s="138"/>
      <c r="EJ50" s="138"/>
      <c r="EK50" s="138"/>
      <c r="EL50" s="138"/>
      <c r="EM50" s="138"/>
      <c r="EN50" s="138"/>
      <c r="EO50" s="138"/>
      <c r="EP50" s="138"/>
      <c r="EQ50" s="138"/>
      <c r="ER50" s="138"/>
      <c r="ES50" s="138"/>
      <c r="ET50" s="138"/>
      <c r="EU50" s="138"/>
      <c r="EV50" s="138"/>
      <c r="EW50" s="138"/>
      <c r="EX50" s="138"/>
      <c r="EY50" s="138"/>
      <c r="EZ50" s="138"/>
      <c r="FA50" s="138"/>
      <c r="FB50" s="138"/>
      <c r="FC50" s="138"/>
      <c r="FD50" s="138"/>
      <c r="FE50" s="138"/>
      <c r="FF50" s="138"/>
      <c r="FG50" s="138"/>
      <c r="FH50" s="138"/>
      <c r="FI50" s="138"/>
      <c r="FJ50" s="138"/>
      <c r="FK50" s="138"/>
      <c r="FL50" s="138"/>
      <c r="FM50" s="138"/>
      <c r="FN50" s="138"/>
      <c r="FO50" s="138"/>
      <c r="FP50" s="138"/>
      <c r="FQ50" s="138"/>
      <c r="FR50" s="138"/>
      <c r="FS50" s="138"/>
      <c r="FT50" s="138"/>
      <c r="FU50" s="138"/>
      <c r="FV50" s="138"/>
      <c r="FW50" s="138"/>
      <c r="FX50" s="138"/>
      <c r="FY50" s="138"/>
      <c r="FZ50" s="138"/>
      <c r="GA50" s="138"/>
      <c r="GB50" s="138"/>
      <c r="GC50" s="138"/>
      <c r="GD50" s="138"/>
      <c r="GE50" s="138"/>
      <c r="GF50" s="138"/>
      <c r="GG50" s="138"/>
      <c r="GH50" s="138"/>
      <c r="GI50" s="138"/>
      <c r="GJ50" s="138"/>
      <c r="GK50" s="138"/>
      <c r="GL50" s="138"/>
      <c r="GM50" s="138"/>
      <c r="GN50" s="138"/>
      <c r="GO50" s="138"/>
      <c r="GP50" s="138"/>
      <c r="GQ50" s="138"/>
      <c r="GR50" s="138"/>
      <c r="GS50" s="138"/>
      <c r="GT50" s="138"/>
      <c r="GU50" s="138"/>
      <c r="GV50" s="138"/>
      <c r="GW50" s="138"/>
      <c r="GX50" s="138"/>
      <c r="GY50" s="138"/>
      <c r="GZ50" s="138"/>
      <c r="HA50" s="138"/>
      <c r="HB50" s="138"/>
      <c r="HC50" s="138"/>
      <c r="HD50" s="138"/>
      <c r="HE50" s="138"/>
      <c r="HF50" s="138"/>
      <c r="HG50" s="138"/>
      <c r="HH50" s="138"/>
      <c r="HI50" s="138"/>
      <c r="HJ50" s="138"/>
      <c r="HK50" s="138"/>
      <c r="HL50" s="138"/>
      <c r="HM50" s="138"/>
      <c r="HN50" s="138"/>
      <c r="HO50" s="138"/>
      <c r="HP50" s="138"/>
      <c r="HQ50" s="138"/>
      <c r="HR50" s="138"/>
      <c r="HS50" s="138"/>
      <c r="HT50" s="138"/>
      <c r="HU50" s="138"/>
      <c r="HV50" s="138"/>
      <c r="HW50" s="138"/>
      <c r="HX50" s="138"/>
      <c r="HY50" s="138"/>
      <c r="HZ50" s="138"/>
      <c r="IA50" s="138"/>
      <c r="IB50" s="138"/>
      <c r="IC50" s="138"/>
      <c r="ID50" s="138"/>
      <c r="IE50" s="138"/>
      <c r="IF50" s="138"/>
      <c r="IG50" s="138"/>
      <c r="IH50" s="138"/>
      <c r="II50" s="138"/>
      <c r="IJ50" s="138"/>
      <c r="IK50" s="138"/>
      <c r="IL50" s="138"/>
      <c r="IM50" s="138"/>
      <c r="IN50" s="138"/>
      <c r="IO50" s="138"/>
      <c r="IP50" s="138"/>
      <c r="IQ50" s="138"/>
      <c r="IR50" s="138"/>
      <c r="IS50" s="138"/>
      <c r="IT50" s="138"/>
      <c r="IU50" s="138"/>
      <c r="IV50" s="138"/>
      <c r="IW50" s="138"/>
      <c r="IX50" s="138"/>
      <c r="IY50" s="138"/>
      <c r="IZ50" s="138"/>
      <c r="JA50" s="138"/>
      <c r="JB50" s="138"/>
      <c r="JC50" s="138"/>
      <c r="JD50" s="138"/>
      <c r="JE50" s="138"/>
      <c r="JF50" s="138"/>
      <c r="JG50" s="138"/>
      <c r="JH50" s="138"/>
      <c r="JI50" s="138"/>
      <c r="JJ50" s="138"/>
      <c r="JK50" s="138"/>
      <c r="JL50" s="138"/>
      <c r="JM50" s="138"/>
      <c r="JN50" s="138"/>
      <c r="JO50" s="138"/>
      <c r="JP50" s="138"/>
      <c r="JQ50" s="138"/>
      <c r="JR50" s="138"/>
      <c r="JS50" s="138"/>
      <c r="JT50" s="138"/>
      <c r="JU50" s="138"/>
      <c r="JV50" s="138"/>
      <c r="JW50" s="138"/>
      <c r="JX50" s="138"/>
      <c r="JY50" s="138"/>
      <c r="JZ50" s="138"/>
      <c r="KA50" s="138"/>
      <c r="KB50" s="138"/>
      <c r="KC50" s="138"/>
      <c r="KD50" s="138"/>
      <c r="KE50" s="138"/>
      <c r="KF50" s="138"/>
      <c r="KG50" s="138"/>
      <c r="KH50" s="138"/>
      <c r="KI50" s="138"/>
      <c r="KJ50" s="138"/>
      <c r="KK50" s="138"/>
      <c r="KL50" s="138"/>
      <c r="KM50" s="138"/>
      <c r="KN50" s="138"/>
      <c r="KO50" s="138"/>
      <c r="KP50" s="138"/>
      <c r="KQ50" s="138"/>
      <c r="KR50" s="138"/>
      <c r="KS50" s="138"/>
      <c r="KT50" s="138"/>
      <c r="KU50" s="138"/>
      <c r="KV50" s="138"/>
      <c r="KW50" s="138"/>
      <c r="KX50" s="138"/>
      <c r="KY50" s="138"/>
      <c r="KZ50" s="138"/>
      <c r="LA50" s="138"/>
      <c r="LB50" s="138"/>
      <c r="LC50" s="138"/>
      <c r="LD50" s="138"/>
      <c r="LE50" s="138"/>
      <c r="LF50" s="138"/>
      <c r="LG50" s="138"/>
      <c r="LH50" s="138"/>
      <c r="LI50" s="138"/>
      <c r="LJ50" s="138"/>
      <c r="LK50" s="138"/>
      <c r="LL50" s="138"/>
      <c r="LM50" s="138"/>
      <c r="LN50" s="138"/>
      <c r="LO50" s="138"/>
      <c r="LP50" s="138"/>
      <c r="LQ50" s="138"/>
      <c r="LR50" s="138"/>
      <c r="LS50" s="138"/>
      <c r="LT50" s="138"/>
      <c r="LU50" s="138"/>
      <c r="LV50" s="138"/>
      <c r="LW50" s="138"/>
      <c r="LX50" s="138"/>
      <c r="LY50" s="138"/>
      <c r="LZ50" s="138"/>
      <c r="MA50" s="138"/>
      <c r="MB50" s="138"/>
      <c r="MC50" s="138"/>
      <c r="MD50" s="138"/>
      <c r="ME50" s="138"/>
      <c r="MF50" s="138"/>
      <c r="MG50" s="138"/>
      <c r="MH50" s="138"/>
      <c r="MI50" s="138"/>
      <c r="MJ50" s="138"/>
      <c r="MK50" s="138"/>
      <c r="ML50" s="138"/>
      <c r="MM50" s="138"/>
      <c r="MN50" s="138"/>
      <c r="MO50" s="138"/>
      <c r="MP50" s="138"/>
      <c r="MQ50" s="138"/>
      <c r="MR50" s="138"/>
      <c r="MS50" s="138"/>
      <c r="MT50" s="138"/>
      <c r="MU50" s="138"/>
      <c r="MV50" s="138"/>
      <c r="MW50" s="138"/>
      <c r="MX50" s="138"/>
      <c r="MY50" s="138"/>
      <c r="MZ50" s="138"/>
      <c r="NA50" s="138"/>
      <c r="NB50" s="138"/>
      <c r="NC50" s="138"/>
      <c r="ND50" s="138"/>
      <c r="NE50" s="138"/>
      <c r="NF50" s="138"/>
      <c r="NG50" s="138"/>
      <c r="NH50" s="138"/>
      <c r="NI50" s="138"/>
      <c r="NJ50" s="138"/>
      <c r="NK50" s="138"/>
      <c r="NL50" s="138"/>
      <c r="NM50" s="138"/>
      <c r="NN50" s="138"/>
      <c r="NO50" s="138"/>
      <c r="NP50" s="138"/>
      <c r="NQ50" s="138"/>
      <c r="NR50" s="138"/>
      <c r="NS50" s="138"/>
      <c r="NT50" s="138"/>
      <c r="NU50" s="138"/>
      <c r="NV50" s="138"/>
      <c r="NW50" s="138"/>
      <c r="NX50" s="138"/>
      <c r="NY50" s="138"/>
      <c r="NZ50" s="138"/>
      <c r="OA50" s="138"/>
      <c r="OB50" s="138"/>
      <c r="OC50" s="138"/>
      <c r="OD50" s="138"/>
      <c r="OE50" s="138"/>
      <c r="OF50" s="138"/>
      <c r="OG50" s="138"/>
      <c r="OH50" s="138"/>
      <c r="OI50" s="138"/>
      <c r="OJ50" s="138"/>
      <c r="OK50" s="138"/>
      <c r="OL50" s="138"/>
      <c r="OM50" s="138"/>
      <c r="ON50" s="138"/>
      <c r="OO50" s="138"/>
      <c r="OP50" s="138"/>
      <c r="OQ50" s="138"/>
      <c r="OR50" s="138"/>
      <c r="OS50" s="138"/>
      <c r="OT50" s="138"/>
      <c r="OU50" s="138"/>
      <c r="OV50" s="138"/>
      <c r="OW50" s="138"/>
      <c r="OX50" s="138"/>
      <c r="OY50" s="138"/>
      <c r="OZ50" s="138"/>
      <c r="PA50" s="138"/>
      <c r="PB50" s="138"/>
      <c r="PC50" s="138"/>
      <c r="PD50" s="138"/>
      <c r="PE50" s="138"/>
      <c r="PF50" s="138"/>
      <c r="PG50" s="138"/>
      <c r="PH50" s="138"/>
      <c r="PI50" s="138"/>
      <c r="PJ50" s="138"/>
      <c r="PK50" s="138"/>
      <c r="PL50" s="138"/>
      <c r="PM50" s="138"/>
      <c r="PN50" s="138"/>
      <c r="PO50" s="138"/>
      <c r="PP50" s="138"/>
      <c r="PQ50" s="138"/>
      <c r="PR50" s="138"/>
      <c r="PS50" s="138"/>
      <c r="PT50" s="138"/>
      <c r="PU50" s="138"/>
      <c r="PV50" s="138"/>
      <c r="PW50" s="138"/>
      <c r="PX50" s="138"/>
      <c r="PY50" s="138"/>
      <c r="PZ50" s="138"/>
      <c r="QA50" s="138"/>
      <c r="QB50" s="138"/>
      <c r="QC50" s="138"/>
      <c r="QD50" s="138"/>
      <c r="QE50" s="138"/>
      <c r="QF50" s="138"/>
      <c r="QG50" s="138"/>
      <c r="QH50" s="138"/>
      <c r="QI50" s="138"/>
      <c r="QJ50" s="138"/>
      <c r="QK50" s="138"/>
      <c r="QL50" s="138"/>
      <c r="QM50" s="138"/>
      <c r="QN50" s="138"/>
      <c r="QO50" s="138"/>
      <c r="QP50" s="138"/>
      <c r="QQ50" s="138"/>
      <c r="QR50" s="138"/>
      <c r="QS50" s="162"/>
      <c r="QT50" s="162"/>
      <c r="QU50" s="162"/>
      <c r="QV50" s="162"/>
      <c r="QW50" s="162"/>
      <c r="QX50" s="162"/>
      <c r="QY50" s="162"/>
      <c r="QZ50" s="162"/>
      <c r="RA50" s="162"/>
      <c r="RB50" s="162"/>
      <c r="RC50" s="162"/>
      <c r="RD50" s="162"/>
      <c r="RE50" s="162"/>
      <c r="RF50" s="162"/>
      <c r="RG50" s="162"/>
      <c r="RH50" s="162"/>
      <c r="RI50" s="162"/>
      <c r="RJ50" s="162"/>
      <c r="RK50" s="162"/>
      <c r="RL50" s="162"/>
      <c r="RM50" s="162"/>
      <c r="RN50" s="162"/>
      <c r="RO50" s="162"/>
      <c r="RP50" s="162"/>
      <c r="RQ50" s="162"/>
      <c r="RR50" s="162"/>
      <c r="RS50" s="162"/>
      <c r="RT50" s="162"/>
      <c r="RU50" s="162"/>
      <c r="RV50" s="162"/>
      <c r="RW50" s="162"/>
      <c r="RX50" s="162"/>
      <c r="RY50" s="162"/>
      <c r="RZ50" s="162"/>
      <c r="SA50" s="162"/>
      <c r="SB50" s="162"/>
      <c r="SC50" s="162"/>
      <c r="SD50" s="162"/>
      <c r="SE50" s="162"/>
      <c r="SF50" s="162"/>
      <c r="SG50" s="162"/>
      <c r="SH50" s="162"/>
      <c r="SI50" s="162"/>
      <c r="SJ50" s="162"/>
      <c r="SK50" s="162"/>
      <c r="SL50" s="162"/>
      <c r="SM50" s="162"/>
      <c r="SN50" s="162"/>
      <c r="SO50" s="162"/>
      <c r="SP50" s="162"/>
      <c r="SQ50" s="162"/>
      <c r="SR50" s="162"/>
      <c r="SS50" s="162"/>
      <c r="ST50" s="162"/>
      <c r="SU50" s="162"/>
      <c r="SV50" s="162"/>
      <c r="SW50" s="162"/>
      <c r="SX50" s="162"/>
      <c r="SY50" s="162"/>
      <c r="SZ50" s="162"/>
      <c r="TA50" s="162"/>
      <c r="TB50" s="162"/>
      <c r="TC50" s="162"/>
      <c r="TD50" s="162"/>
      <c r="TE50" s="162"/>
      <c r="TF50" s="162"/>
      <c r="TG50" s="162"/>
      <c r="TH50" s="162"/>
      <c r="TI50" s="162"/>
      <c r="TJ50" s="162"/>
      <c r="TK50" s="162"/>
      <c r="TL50" s="162"/>
      <c r="TM50" s="162"/>
      <c r="TN50" s="162"/>
      <c r="TO50" s="162"/>
      <c r="TP50" s="162"/>
      <c r="TQ50" s="162"/>
      <c r="TR50" s="162"/>
      <c r="TS50" s="162"/>
      <c r="TT50" s="162"/>
      <c r="TU50" s="162"/>
      <c r="TV50" s="162"/>
      <c r="TW50" s="162"/>
      <c r="TX50" s="162"/>
      <c r="TY50" s="162"/>
      <c r="TZ50" s="162"/>
      <c r="UA50" s="162"/>
      <c r="UB50" s="162"/>
      <c r="UC50" s="162"/>
      <c r="UD50" s="162"/>
      <c r="UE50" s="162"/>
      <c r="UF50" s="162"/>
      <c r="UG50" s="162"/>
      <c r="UH50" s="162"/>
      <c r="UI50" s="162"/>
      <c r="UJ50" s="162"/>
      <c r="UK50" s="162"/>
      <c r="UL50" s="162"/>
      <c r="UM50" s="162"/>
      <c r="UN50" s="162"/>
      <c r="UO50" s="162"/>
      <c r="UP50" s="162"/>
      <c r="UQ50" s="162"/>
      <c r="UR50" s="162"/>
      <c r="US50" s="162"/>
      <c r="UT50" s="162"/>
      <c r="UU50" s="162"/>
      <c r="UV50" s="162"/>
      <c r="UW50" s="162"/>
      <c r="UX50" s="162"/>
      <c r="UY50" s="162"/>
      <c r="UZ50" s="162"/>
      <c r="VA50" s="162"/>
      <c r="VB50" s="162"/>
      <c r="VC50" s="162"/>
      <c r="VD50" s="162"/>
      <c r="VE50" s="162"/>
      <c r="VF50" s="162"/>
      <c r="VG50" s="162"/>
      <c r="VH50" s="162"/>
      <c r="VI50" s="162"/>
      <c r="VJ50" s="162"/>
      <c r="VK50" s="162"/>
      <c r="VL50" s="162"/>
      <c r="VM50" s="162"/>
      <c r="VN50" s="162"/>
      <c r="VO50" s="162"/>
      <c r="VP50" s="162"/>
      <c r="VQ50" s="162"/>
      <c r="VR50" s="162"/>
      <c r="VS50" s="162"/>
      <c r="VT50" s="162"/>
      <c r="VU50" s="162"/>
      <c r="VV50" s="162"/>
      <c r="VW50" s="162"/>
      <c r="VX50" s="162"/>
      <c r="VY50" s="162"/>
      <c r="VZ50" s="162"/>
      <c r="WA50" s="162"/>
      <c r="WB50" s="162"/>
      <c r="WC50" s="162"/>
      <c r="WD50" s="162"/>
      <c r="WE50" s="162"/>
      <c r="WF50" s="162"/>
      <c r="WG50" s="162"/>
      <c r="WH50" s="162"/>
      <c r="WI50" s="162"/>
      <c r="WJ50" s="162"/>
      <c r="WK50" s="162"/>
      <c r="WL50" s="162"/>
      <c r="WM50" s="162"/>
      <c r="WN50" s="162"/>
      <c r="WO50" s="162"/>
      <c r="WP50" s="162"/>
      <c r="WQ50" s="162"/>
      <c r="WR50" s="162"/>
      <c r="WS50" s="162"/>
      <c r="WT50" s="162"/>
      <c r="WU50" s="162"/>
      <c r="WV50" s="162"/>
      <c r="WW50" s="162"/>
      <c r="WX50" s="162"/>
      <c r="WY50" s="162"/>
      <c r="WZ50" s="162"/>
      <c r="XA50" s="162"/>
      <c r="XB50" s="162"/>
      <c r="XC50" s="162"/>
      <c r="XD50" s="162"/>
      <c r="XE50" s="162"/>
      <c r="XF50" s="162"/>
      <c r="XG50" s="162"/>
      <c r="XH50" s="162"/>
      <c r="XI50" s="162"/>
      <c r="XJ50" s="162"/>
      <c r="XK50" s="162"/>
      <c r="XL50" s="162"/>
      <c r="XM50" s="162"/>
      <c r="XN50" s="162"/>
      <c r="XO50" s="162"/>
      <c r="XP50" s="162"/>
      <c r="XQ50" s="162"/>
      <c r="XR50" s="162"/>
      <c r="XS50" s="162"/>
      <c r="XT50" s="162"/>
      <c r="XU50" s="162"/>
      <c r="XV50" s="162"/>
      <c r="XW50" s="162"/>
      <c r="XX50" s="162"/>
      <c r="XY50" s="162"/>
      <c r="XZ50" s="162"/>
      <c r="YA50" s="162"/>
      <c r="YB50" s="162"/>
      <c r="YC50" s="162"/>
      <c r="YD50" s="162"/>
      <c r="YE50" s="162"/>
      <c r="YF50" s="162"/>
      <c r="YG50" s="162"/>
      <c r="YH50" s="162"/>
      <c r="YI50" s="162"/>
      <c r="YJ50" s="162"/>
      <c r="YK50" s="162"/>
      <c r="YL50" s="162"/>
      <c r="YM50" s="162"/>
      <c r="YN50" s="162"/>
      <c r="YO50" s="162"/>
      <c r="YP50" s="162"/>
      <c r="YQ50" s="162"/>
      <c r="YR50" s="162"/>
      <c r="YS50" s="162"/>
      <c r="YT50" s="162"/>
      <c r="YU50" s="162"/>
      <c r="YV50" s="162"/>
      <c r="YW50" s="162"/>
      <c r="YX50" s="162"/>
      <c r="YY50" s="162"/>
      <c r="YZ50" s="162"/>
      <c r="ZA50" s="162"/>
      <c r="ZB50" s="162"/>
      <c r="ZC50" s="162"/>
      <c r="ZD50" s="162"/>
      <c r="ZE50" s="162"/>
      <c r="ZF50" s="162"/>
      <c r="ZG50" s="162"/>
      <c r="ZH50" s="162"/>
      <c r="ZI50" s="162"/>
      <c r="ZJ50" s="162"/>
      <c r="ZK50" s="162"/>
      <c r="ZL50" s="162"/>
      <c r="ZM50" s="162"/>
      <c r="ZN50" s="162"/>
      <c r="ZO50" s="162"/>
      <c r="ZP50" s="162"/>
      <c r="ZQ50" s="162"/>
      <c r="ZR50" s="162"/>
      <c r="ZS50" s="162"/>
      <c r="ZT50" s="162"/>
      <c r="ZU50" s="162"/>
      <c r="ZV50" s="162"/>
      <c r="ZW50" s="162"/>
      <c r="ZX50" s="162"/>
      <c r="ZY50" s="162"/>
      <c r="ZZ50" s="162"/>
      <c r="AAA50" s="162"/>
      <c r="AAB50" s="162"/>
      <c r="AAC50" s="162"/>
      <c r="AAD50" s="162"/>
      <c r="AAE50" s="162"/>
      <c r="AAF50" s="162"/>
      <c r="AAG50" s="162"/>
      <c r="AAH50" s="162"/>
      <c r="AAI50" s="162"/>
      <c r="AAJ50" s="162"/>
      <c r="AAK50" s="162"/>
      <c r="AAL50" s="162"/>
      <c r="AAM50" s="162"/>
      <c r="AAN50" s="162"/>
      <c r="AAO50" s="162"/>
      <c r="AAP50" s="162"/>
      <c r="AAQ50" s="162"/>
      <c r="AAR50" s="162"/>
      <c r="AAS50" s="162"/>
      <c r="AAT50" s="162"/>
      <c r="AAU50" s="162"/>
      <c r="AAV50" s="162"/>
      <c r="AAW50" s="162"/>
      <c r="AAX50" s="162"/>
      <c r="AAY50" s="162"/>
      <c r="AAZ50" s="162"/>
      <c r="ABA50" s="162"/>
      <c r="ABB50" s="162"/>
      <c r="ABC50" s="162"/>
      <c r="ABD50" s="162"/>
      <c r="ABE50" s="162"/>
      <c r="ABF50" s="162"/>
      <c r="ABG50" s="162"/>
      <c r="ABH50" s="162"/>
      <c r="ABI50" s="162"/>
      <c r="ABJ50" s="162"/>
      <c r="ABK50" s="162"/>
      <c r="ABL50" s="162"/>
      <c r="ABM50" s="162"/>
      <c r="ABN50" s="162"/>
      <c r="ABO50" s="162"/>
      <c r="ABP50" s="162"/>
      <c r="ABQ50" s="162"/>
      <c r="ABR50" s="162"/>
      <c r="ABS50" s="162"/>
      <c r="ABT50" s="162"/>
      <c r="ABU50" s="162"/>
      <c r="ABV50" s="162"/>
      <c r="ABW50" s="162"/>
      <c r="ABX50" s="162"/>
      <c r="ABY50" s="162"/>
      <c r="ABZ50" s="162"/>
      <c r="ACA50" s="162"/>
      <c r="ACB50" s="162"/>
      <c r="ACC50" s="162"/>
      <c r="ACD50" s="162"/>
      <c r="ACE50" s="162"/>
      <c r="ACF50" s="162"/>
      <c r="ACG50" s="162"/>
      <c r="ACH50" s="162"/>
      <c r="ACI50" s="162"/>
      <c r="ACJ50" s="162"/>
      <c r="ACK50" s="162"/>
      <c r="ACL50" s="162"/>
      <c r="ACM50" s="162"/>
      <c r="ACN50" s="162"/>
      <c r="ACO50" s="162"/>
      <c r="ACP50" s="162"/>
      <c r="ACQ50" s="162"/>
      <c r="ACR50" s="162"/>
      <c r="ACS50" s="162"/>
      <c r="ACT50" s="162"/>
      <c r="ACU50" s="162"/>
      <c r="ACV50" s="162"/>
      <c r="ACW50" s="162"/>
      <c r="ACX50" s="162"/>
      <c r="ACY50" s="162"/>
      <c r="ACZ50" s="162"/>
      <c r="ADA50" s="162"/>
      <c r="ADB50" s="162"/>
      <c r="ADC50" s="162"/>
      <c r="ADD50" s="162"/>
      <c r="ADE50" s="162"/>
      <c r="ADF50" s="162"/>
      <c r="ADG50" s="162"/>
      <c r="ADH50" s="162"/>
      <c r="ADI50" s="162"/>
      <c r="ADJ50" s="162"/>
      <c r="ADK50" s="162"/>
      <c r="ADL50" s="162"/>
      <c r="ADM50" s="162"/>
      <c r="ADN50" s="162"/>
      <c r="ADO50" s="162"/>
      <c r="ADP50" s="162"/>
      <c r="ADQ50" s="162"/>
      <c r="ADR50" s="162"/>
      <c r="ADS50" s="162"/>
      <c r="ADT50" s="162"/>
      <c r="ADU50" s="162"/>
      <c r="ADV50" s="162"/>
      <c r="ADW50" s="162"/>
      <c r="ADX50" s="162"/>
      <c r="ADY50" s="162"/>
      <c r="ADZ50" s="162"/>
      <c r="AEA50" s="162"/>
      <c r="AEB50" s="162"/>
      <c r="AEC50" s="162"/>
      <c r="AED50" s="162"/>
      <c r="AEE50" s="162"/>
      <c r="AEF50" s="162"/>
      <c r="AEG50" s="162"/>
      <c r="AEH50" s="162"/>
      <c r="AEI50" s="162"/>
      <c r="AEJ50" s="162"/>
      <c r="AEK50" s="162"/>
      <c r="AEL50" s="162"/>
      <c r="AEM50" s="162"/>
      <c r="AEN50" s="162"/>
      <c r="AEO50" s="162"/>
      <c r="AEP50" s="162"/>
      <c r="AEQ50" s="162"/>
      <c r="AER50" s="162"/>
      <c r="AES50" s="162"/>
      <c r="AET50" s="162"/>
      <c r="AEU50" s="162"/>
      <c r="AEV50" s="162"/>
      <c r="AEW50" s="162"/>
      <c r="AEX50" s="162"/>
      <c r="AEY50" s="162"/>
      <c r="AEZ50" s="162"/>
      <c r="AFA50" s="162"/>
      <c r="AFB50" s="162"/>
      <c r="AFC50" s="162"/>
      <c r="AFD50" s="162"/>
      <c r="AFE50" s="162"/>
      <c r="AFF50" s="162"/>
      <c r="AFG50" s="162"/>
      <c r="AFH50" s="162"/>
      <c r="AFI50" s="162"/>
      <c r="AFJ50" s="162"/>
      <c r="AFK50" s="162"/>
      <c r="AFL50" s="162"/>
      <c r="AFM50" s="162"/>
      <c r="AFN50" s="162"/>
      <c r="AFO50" s="162"/>
      <c r="AFP50" s="162"/>
      <c r="AFQ50" s="162"/>
      <c r="AFR50" s="162"/>
      <c r="AFS50" s="162"/>
      <c r="AFT50" s="162"/>
      <c r="AFU50" s="162"/>
      <c r="AFV50" s="162"/>
      <c r="AFW50" s="162"/>
      <c r="AFX50" s="162"/>
      <c r="AFY50" s="162"/>
      <c r="AFZ50" s="162"/>
      <c r="AGA50" s="162"/>
      <c r="AGB50" s="162"/>
      <c r="AGC50" s="162"/>
      <c r="AGD50" s="162"/>
      <c r="AGE50" s="162"/>
      <c r="AGF50" s="162"/>
      <c r="AGG50" s="162"/>
      <c r="AGH50" s="162"/>
      <c r="AGI50" s="162"/>
      <c r="AGJ50" s="162"/>
      <c r="AGK50" s="162"/>
      <c r="AGL50" s="162"/>
      <c r="AGM50" s="162"/>
      <c r="AGN50" s="162"/>
      <c r="AGO50" s="162"/>
      <c r="AGP50" s="162"/>
      <c r="AGQ50" s="162"/>
      <c r="AGR50" s="162"/>
      <c r="AGS50" s="162"/>
      <c r="AGT50" s="162"/>
      <c r="AGU50" s="162"/>
      <c r="AGV50" s="162"/>
      <c r="AGW50" s="162"/>
      <c r="AGX50" s="162"/>
      <c r="AGY50" s="162"/>
      <c r="AGZ50" s="162"/>
      <c r="AHA50" s="162"/>
      <c r="AHB50" s="162"/>
      <c r="AHC50" s="162"/>
      <c r="AHD50" s="162"/>
      <c r="AHE50" s="162"/>
      <c r="AHF50" s="162"/>
      <c r="AHG50" s="162"/>
      <c r="AHH50" s="162"/>
      <c r="AHI50" s="162"/>
      <c r="AHJ50" s="162"/>
      <c r="AHK50" s="162"/>
      <c r="AHL50" s="162"/>
      <c r="AHM50" s="162"/>
      <c r="AHN50" s="162"/>
      <c r="AHO50" s="162"/>
      <c r="AHP50" s="162"/>
      <c r="AHQ50" s="162"/>
      <c r="AHR50" s="162"/>
      <c r="AHS50" s="162"/>
      <c r="AHT50" s="162"/>
      <c r="AHU50" s="162"/>
      <c r="AHV50" s="162"/>
      <c r="AHW50" s="162"/>
      <c r="AHX50" s="162"/>
      <c r="AHY50" s="162"/>
      <c r="AHZ50" s="162"/>
      <c r="AIA50" s="162"/>
      <c r="AIB50" s="162"/>
      <c r="AIC50" s="162"/>
      <c r="AID50" s="162"/>
      <c r="AIE50" s="162"/>
      <c r="AIF50" s="162"/>
      <c r="AIG50" s="162"/>
      <c r="AIH50" s="162"/>
      <c r="AII50" s="162"/>
      <c r="AIJ50" s="162"/>
      <c r="AIK50" s="162"/>
      <c r="AIL50" s="162"/>
      <c r="AIM50" s="162"/>
      <c r="AIN50" s="162"/>
      <c r="AIO50" s="162"/>
      <c r="AIP50" s="162"/>
      <c r="AIQ50" s="162"/>
      <c r="AIR50" s="162"/>
      <c r="AIS50" s="162"/>
      <c r="AIT50" s="162"/>
      <c r="AIU50" s="162"/>
      <c r="AIV50" s="162"/>
      <c r="AIW50" s="162"/>
      <c r="AIX50" s="162"/>
      <c r="AIY50" s="162"/>
      <c r="AIZ50" s="162"/>
      <c r="AJA50" s="162"/>
      <c r="AJB50" s="162"/>
      <c r="AJC50" s="162"/>
      <c r="AJD50" s="162"/>
      <c r="AJE50" s="162"/>
      <c r="AJF50" s="162"/>
      <c r="AJG50" s="162"/>
      <c r="AJH50" s="162"/>
      <c r="AJI50" s="162"/>
      <c r="AJJ50" s="162"/>
      <c r="AJK50" s="162"/>
      <c r="AJL50" s="162"/>
      <c r="AJM50" s="162"/>
      <c r="AJN50" s="162"/>
      <c r="AJO50" s="162"/>
      <c r="AJP50" s="162"/>
      <c r="AJQ50" s="162"/>
      <c r="AJR50" s="162"/>
      <c r="AJS50" s="162"/>
      <c r="AJT50" s="162"/>
      <c r="AJU50" s="162"/>
      <c r="AJV50" s="162"/>
      <c r="AJW50" s="162"/>
      <c r="AJX50" s="162"/>
      <c r="AJY50" s="162"/>
      <c r="AJZ50" s="162"/>
      <c r="AKA50" s="162"/>
      <c r="AKB50" s="162"/>
      <c r="AKC50" s="162"/>
      <c r="AKD50" s="162"/>
      <c r="AKE50" s="162"/>
      <c r="AKF50" s="162"/>
      <c r="AKG50" s="162"/>
      <c r="AKH50" s="162"/>
      <c r="AKI50" s="162"/>
      <c r="AKJ50" s="162"/>
      <c r="AKK50" s="162"/>
      <c r="AKL50" s="162"/>
      <c r="AKM50" s="162"/>
      <c r="AKN50" s="162"/>
      <c r="AKO50" s="162"/>
      <c r="AKP50" s="162"/>
      <c r="AKQ50" s="162"/>
      <c r="AKR50" s="162"/>
      <c r="AKS50" s="162"/>
      <c r="AKT50" s="162"/>
      <c r="AKU50" s="162"/>
      <c r="AKV50" s="162"/>
      <c r="AKW50" s="162"/>
      <c r="AKX50" s="162"/>
      <c r="AKY50" s="162"/>
      <c r="AKZ50" s="162"/>
      <c r="ALA50" s="162"/>
      <c r="ALB50" s="162"/>
      <c r="ALC50" s="162"/>
      <c r="ALD50" s="162"/>
      <c r="ALE50" s="162"/>
      <c r="ALF50" s="162"/>
      <c r="ALG50" s="162"/>
      <c r="ALH50" s="162"/>
      <c r="ALI50" s="162"/>
      <c r="ALJ50" s="162"/>
      <c r="ALK50" s="162"/>
      <c r="ALL50" s="162"/>
      <c r="ALM50" s="162"/>
      <c r="ALN50" s="162"/>
      <c r="ALO50" s="162"/>
      <c r="ALP50" s="162"/>
      <c r="ALQ50" s="162"/>
      <c r="ALR50" s="162"/>
      <c r="ALS50" s="162"/>
      <c r="ALT50" s="162"/>
      <c r="ALU50" s="162"/>
      <c r="ALV50" s="162"/>
      <c r="ALW50" s="162"/>
      <c r="ALX50" s="162"/>
      <c r="ALY50" s="162"/>
      <c r="ALZ50" s="162"/>
      <c r="AMA50" s="162"/>
      <c r="AMB50" s="162"/>
      <c r="AMC50" s="162"/>
      <c r="AMD50" s="162"/>
      <c r="AME50" s="162"/>
      <c r="AMF50" s="162"/>
      <c r="AMG50" s="162"/>
      <c r="AMH50" s="162"/>
      <c r="AMI50" s="162"/>
      <c r="AMJ50" s="162"/>
      <c r="AMK50" s="162"/>
      <c r="AML50" s="162"/>
      <c r="AMM50" s="162"/>
      <c r="AMN50" s="162"/>
      <c r="AMO50" s="162"/>
      <c r="AMP50" s="162"/>
      <c r="AMQ50" s="162"/>
      <c r="AMR50" s="162"/>
      <c r="AMS50" s="162"/>
      <c r="AMT50" s="162"/>
      <c r="AMU50" s="162"/>
      <c r="AMV50" s="162"/>
      <c r="AMW50" s="162"/>
      <c r="AMX50" s="162"/>
      <c r="AMY50" s="162"/>
      <c r="AMZ50" s="162"/>
      <c r="ANA50" s="162"/>
      <c r="ANB50" s="162"/>
      <c r="ANC50" s="162"/>
      <c r="AND50" s="162"/>
      <c r="ANE50" s="162"/>
      <c r="ANF50" s="162"/>
      <c r="ANG50" s="162"/>
      <c r="ANH50" s="162"/>
      <c r="ANI50" s="162"/>
      <c r="ANJ50" s="162"/>
      <c r="ANK50" s="162"/>
      <c r="ANL50" s="162"/>
      <c r="ANM50" s="162"/>
      <c r="ANN50" s="162"/>
      <c r="ANO50" s="162"/>
      <c r="ANP50" s="162"/>
      <c r="ANQ50" s="162"/>
      <c r="ANR50" s="162"/>
      <c r="ANS50" s="162"/>
      <c r="ANT50" s="162"/>
      <c r="ANU50" s="162"/>
      <c r="ANV50" s="162"/>
      <c r="ANW50" s="162"/>
      <c r="ANX50" s="162"/>
      <c r="ANY50" s="162"/>
      <c r="ANZ50" s="162"/>
      <c r="AOA50" s="162"/>
      <c r="AOB50" s="162"/>
      <c r="AOC50" s="162"/>
      <c r="AOD50" s="162"/>
      <c r="AOE50" s="162"/>
      <c r="AOF50" s="162"/>
      <c r="AOG50" s="162"/>
      <c r="AOH50" s="162"/>
      <c r="AOI50" s="162"/>
      <c r="AOJ50" s="162"/>
      <c r="AOK50" s="162"/>
      <c r="AOL50" s="162"/>
      <c r="AOM50" s="162"/>
      <c r="AON50" s="162"/>
      <c r="AOO50" s="162"/>
      <c r="AOP50" s="162"/>
      <c r="AOQ50" s="162"/>
      <c r="AOR50" s="162"/>
      <c r="AOS50" s="162"/>
      <c r="AOT50" s="162"/>
      <c r="AOU50" s="162"/>
      <c r="AOV50" s="162"/>
      <c r="AOW50" s="162"/>
      <c r="AOX50" s="162"/>
      <c r="AOY50" s="162"/>
      <c r="AOZ50" s="162"/>
      <c r="APA50" s="162"/>
      <c r="APB50" s="162"/>
      <c r="APC50" s="162"/>
      <c r="APD50" s="162"/>
      <c r="APE50" s="162"/>
      <c r="APF50" s="162"/>
      <c r="APG50" s="162"/>
      <c r="APH50" s="162"/>
      <c r="API50" s="162"/>
      <c r="APJ50" s="162"/>
      <c r="APK50" s="162"/>
      <c r="APL50" s="162"/>
      <c r="APM50" s="162"/>
      <c r="APN50" s="162"/>
      <c r="APO50" s="162"/>
      <c r="APP50" s="162"/>
      <c r="APQ50" s="162"/>
      <c r="APR50" s="162"/>
      <c r="APS50" s="162"/>
      <c r="APT50" s="162"/>
      <c r="APU50" s="162"/>
      <c r="APV50" s="162"/>
      <c r="APW50" s="162"/>
      <c r="APX50" s="162"/>
      <c r="APY50" s="162"/>
      <c r="APZ50" s="162"/>
      <c r="AQA50" s="162"/>
      <c r="AQB50" s="162"/>
      <c r="AQC50" s="162"/>
      <c r="AQD50" s="162"/>
      <c r="AQE50" s="162"/>
      <c r="AQF50" s="162"/>
      <c r="AQG50" s="162"/>
      <c r="AQH50" s="162"/>
      <c r="AQI50" s="162"/>
      <c r="AQJ50" s="162"/>
      <c r="AQK50" s="162"/>
      <c r="AQL50" s="162"/>
      <c r="AQM50" s="162"/>
      <c r="AQN50" s="162"/>
      <c r="AQO50" s="162"/>
      <c r="AQP50" s="162"/>
      <c r="AQQ50" s="162"/>
      <c r="AQR50" s="162"/>
      <c r="AQS50" s="162"/>
      <c r="AQT50" s="162"/>
      <c r="AQU50" s="162"/>
      <c r="AQV50" s="162"/>
      <c r="AQW50" s="162"/>
      <c r="AQX50" s="162"/>
      <c r="AQY50" s="162"/>
      <c r="AQZ50" s="162"/>
      <c r="ARA50" s="162"/>
      <c r="ARB50" s="162"/>
      <c r="ARC50" s="162"/>
      <c r="ARD50" s="162"/>
      <c r="ARE50" s="162"/>
      <c r="ARF50" s="162"/>
      <c r="ARG50" s="162"/>
      <c r="ARH50" s="162"/>
      <c r="ARI50" s="162"/>
      <c r="ARJ50" s="162"/>
      <c r="ARK50" s="162"/>
      <c r="ARL50" s="162"/>
      <c r="ARM50" s="162"/>
      <c r="ARN50" s="162"/>
      <c r="ARO50" s="162"/>
      <c r="ARP50" s="162"/>
      <c r="ARQ50" s="162"/>
      <c r="ARR50" s="162"/>
      <c r="ARS50" s="162"/>
      <c r="ART50" s="162"/>
      <c r="ARU50" s="162"/>
      <c r="ARV50" s="162"/>
      <c r="ARW50" s="162"/>
      <c r="ARX50" s="162"/>
      <c r="ARY50" s="162"/>
      <c r="ARZ50" s="162"/>
      <c r="ASA50" s="162"/>
      <c r="ASB50" s="162"/>
      <c r="ASC50" s="162"/>
      <c r="ASD50" s="162"/>
      <c r="ASE50" s="162"/>
      <c r="ASF50" s="162"/>
      <c r="ASG50" s="162"/>
      <c r="ASH50" s="162"/>
      <c r="ASI50" s="162"/>
      <c r="ASJ50" s="162"/>
      <c r="ASK50" s="162"/>
      <c r="ASL50" s="162"/>
      <c r="ASM50" s="162"/>
      <c r="ASN50" s="162"/>
      <c r="ASO50" s="162"/>
      <c r="ASP50" s="162"/>
      <c r="ASQ50" s="162"/>
      <c r="ASR50" s="162"/>
      <c r="ASS50" s="162"/>
      <c r="AST50" s="162"/>
      <c r="ASU50" s="162"/>
      <c r="ASV50" s="162"/>
      <c r="ASW50" s="162"/>
      <c r="ASX50" s="162"/>
      <c r="ASY50" s="162"/>
      <c r="ASZ50" s="162"/>
      <c r="ATA50" s="162"/>
      <c r="ATB50" s="162"/>
      <c r="ATC50" s="162"/>
      <c r="ATD50" s="162"/>
      <c r="ATE50" s="162"/>
      <c r="ATF50" s="162"/>
      <c r="ATG50" s="162"/>
      <c r="ATH50" s="162"/>
      <c r="ATI50" s="162"/>
      <c r="ATJ50" s="162"/>
      <c r="ATK50" s="162"/>
      <c r="ATL50" s="162"/>
      <c r="ATM50" s="162"/>
      <c r="ATN50" s="162"/>
      <c r="ATO50" s="162"/>
      <c r="ATP50" s="162"/>
      <c r="ATQ50" s="162"/>
      <c r="ATR50" s="162"/>
      <c r="ATS50" s="162"/>
      <c r="ATT50" s="162"/>
      <c r="ATU50" s="162"/>
      <c r="ATV50" s="162"/>
      <c r="ATW50" s="162"/>
      <c r="ATX50" s="162"/>
      <c r="ATY50" s="162"/>
      <c r="ATZ50" s="162"/>
      <c r="AUA50" s="162"/>
      <c r="AUB50" s="162"/>
      <c r="AUC50" s="162"/>
      <c r="AUD50" s="162"/>
      <c r="AUE50" s="162"/>
      <c r="AUF50" s="162"/>
      <c r="AUG50" s="162"/>
      <c r="AUH50" s="162"/>
      <c r="AUI50" s="162"/>
      <c r="AUJ50" s="162"/>
      <c r="AUK50" s="162"/>
      <c r="AUL50" s="162"/>
      <c r="AUM50" s="162"/>
      <c r="AUN50" s="162"/>
      <c r="AUO50" s="162"/>
      <c r="AUP50" s="162"/>
      <c r="AUQ50" s="162"/>
      <c r="AUR50" s="162"/>
      <c r="AUS50" s="162"/>
      <c r="AUT50" s="162"/>
      <c r="AUU50" s="162"/>
      <c r="AUV50" s="162"/>
      <c r="AUW50" s="162"/>
      <c r="AUX50" s="162"/>
      <c r="AUY50" s="162"/>
      <c r="AUZ50" s="162"/>
      <c r="AVA50" s="162"/>
      <c r="AVB50" s="162"/>
      <c r="AVC50" s="162"/>
      <c r="AVD50" s="162"/>
      <c r="AVE50" s="162"/>
      <c r="AVF50" s="162"/>
      <c r="AVG50" s="162"/>
      <c r="AVH50" s="162"/>
      <c r="AVI50" s="162"/>
      <c r="AVJ50" s="162"/>
      <c r="AVK50" s="162"/>
      <c r="AVL50" s="162"/>
      <c r="AVM50" s="162"/>
      <c r="AVN50" s="162"/>
      <c r="AVO50" s="162"/>
      <c r="AVP50" s="162"/>
      <c r="AVQ50" s="162"/>
      <c r="AVR50" s="162"/>
      <c r="AVS50" s="162"/>
      <c r="AVT50" s="162"/>
      <c r="AVU50" s="162"/>
      <c r="AVV50" s="162"/>
      <c r="AVW50" s="162"/>
      <c r="AVX50" s="162"/>
      <c r="AVY50" s="162"/>
      <c r="AVZ50" s="162"/>
      <c r="AWA50" s="162"/>
      <c r="AWB50" s="162"/>
      <c r="AWC50" s="162"/>
      <c r="AWD50" s="162"/>
      <c r="AWE50" s="162"/>
      <c r="AWF50" s="162"/>
      <c r="AWG50" s="162"/>
      <c r="AWH50" s="162"/>
      <c r="AWI50" s="162"/>
      <c r="AWJ50" s="162"/>
      <c r="AWK50" s="162"/>
      <c r="AWL50" s="162"/>
      <c r="AWM50" s="162"/>
      <c r="AWN50" s="162"/>
      <c r="AWO50" s="162"/>
      <c r="AWP50" s="162"/>
      <c r="AWQ50" s="162"/>
      <c r="AWR50" s="162"/>
      <c r="AWS50" s="162"/>
      <c r="AWT50" s="162"/>
      <c r="AWU50" s="162"/>
      <c r="AWV50" s="162"/>
      <c r="AWW50" s="162"/>
      <c r="AWX50" s="162"/>
      <c r="AWY50" s="162"/>
      <c r="AWZ50" s="162"/>
      <c r="AXA50" s="162"/>
      <c r="AXB50" s="162"/>
      <c r="AXC50" s="162"/>
      <c r="AXD50" s="162"/>
      <c r="AXE50" s="162"/>
      <c r="AXF50" s="162"/>
      <c r="AXG50" s="162"/>
      <c r="AXH50" s="162"/>
      <c r="AXI50" s="162"/>
      <c r="AXJ50" s="162"/>
      <c r="AXK50" s="162"/>
      <c r="AXL50" s="162"/>
      <c r="AXM50" s="162"/>
      <c r="AXN50" s="162"/>
      <c r="AXO50" s="162"/>
      <c r="AXP50" s="162"/>
      <c r="AXQ50" s="162"/>
      <c r="AXR50" s="162"/>
      <c r="AXS50" s="162"/>
      <c r="AXT50" s="162"/>
      <c r="AXU50" s="162"/>
      <c r="AXV50" s="162"/>
      <c r="AXW50" s="162"/>
      <c r="AXX50" s="162"/>
      <c r="AXY50" s="162"/>
      <c r="AXZ50" s="162"/>
      <c r="AYA50" s="162"/>
      <c r="AYB50" s="162"/>
      <c r="AYC50" s="162"/>
      <c r="AYD50" s="162"/>
      <c r="AYE50" s="162"/>
      <c r="AYF50" s="162"/>
      <c r="AYG50" s="162"/>
      <c r="AYH50" s="162"/>
      <c r="AYI50" s="162"/>
      <c r="AYJ50" s="162"/>
      <c r="AYK50" s="162"/>
      <c r="AYL50" s="162"/>
      <c r="AYM50" s="162"/>
      <c r="AYN50" s="162"/>
      <c r="AYO50" s="162"/>
      <c r="AYP50" s="162"/>
      <c r="AYQ50" s="162"/>
      <c r="AYR50" s="162"/>
      <c r="AYS50" s="162"/>
      <c r="AYT50" s="162"/>
      <c r="AYU50" s="162"/>
      <c r="AYV50" s="162"/>
      <c r="AYW50" s="162"/>
      <c r="AYX50" s="162"/>
      <c r="AYY50" s="162"/>
      <c r="AYZ50" s="162"/>
      <c r="AZA50" s="162"/>
      <c r="AZB50" s="162"/>
      <c r="AZC50" s="162"/>
      <c r="AZD50" s="162"/>
      <c r="AZE50" s="162"/>
      <c r="AZF50" s="162"/>
      <c r="AZG50" s="162"/>
      <c r="AZH50" s="162"/>
      <c r="AZI50" s="162"/>
      <c r="AZJ50" s="162"/>
      <c r="AZK50" s="162"/>
      <c r="AZL50" s="162"/>
      <c r="AZM50" s="162"/>
      <c r="AZN50" s="162"/>
      <c r="AZO50" s="162"/>
      <c r="AZP50" s="162"/>
      <c r="AZQ50" s="162"/>
      <c r="AZR50" s="162"/>
      <c r="AZS50" s="162"/>
      <c r="AZT50" s="162"/>
      <c r="AZU50" s="162"/>
      <c r="AZV50" s="162"/>
      <c r="AZW50" s="162"/>
      <c r="AZX50" s="162"/>
      <c r="AZY50" s="162"/>
      <c r="AZZ50" s="162"/>
      <c r="BAA50" s="162"/>
      <c r="BAB50" s="162"/>
      <c r="BAC50" s="162"/>
      <c r="BAD50" s="162"/>
      <c r="BAE50" s="162"/>
      <c r="BAF50" s="162"/>
      <c r="BAG50" s="162"/>
      <c r="BAH50" s="162"/>
      <c r="BAI50" s="162"/>
      <c r="BAJ50" s="162"/>
      <c r="BAK50" s="162"/>
      <c r="BAL50" s="162"/>
      <c r="BAM50" s="162"/>
      <c r="BAN50" s="162"/>
      <c r="BAO50" s="162"/>
      <c r="BAP50" s="162"/>
      <c r="BAQ50" s="162"/>
      <c r="BAR50" s="162"/>
      <c r="BAS50" s="162"/>
      <c r="BAT50" s="162"/>
      <c r="BAU50" s="162"/>
      <c r="BAV50" s="162"/>
      <c r="BAW50" s="162"/>
      <c r="BAX50" s="162"/>
      <c r="BAY50" s="162"/>
      <c r="BAZ50" s="162"/>
      <c r="BBA50" s="162"/>
      <c r="BBB50" s="162"/>
      <c r="BBC50" s="162"/>
      <c r="BBD50" s="162"/>
      <c r="BBE50" s="162"/>
      <c r="BBF50" s="162"/>
      <c r="BBG50" s="162"/>
      <c r="BBH50" s="162"/>
      <c r="BBI50" s="162"/>
      <c r="BBJ50" s="162"/>
      <c r="BBK50" s="162"/>
      <c r="BBL50" s="162"/>
      <c r="BBM50" s="162"/>
      <c r="BBN50" s="162"/>
      <c r="BBO50" s="162"/>
      <c r="BBP50" s="162"/>
      <c r="BBQ50" s="162"/>
      <c r="BBR50" s="162"/>
      <c r="BBS50" s="162"/>
      <c r="BBT50" s="162"/>
      <c r="BBU50" s="162"/>
      <c r="BBV50" s="162"/>
      <c r="BBW50" s="162"/>
      <c r="BBX50" s="162"/>
      <c r="BBY50" s="162"/>
      <c r="BBZ50" s="162"/>
      <c r="BCA50" s="162"/>
      <c r="BCB50" s="162"/>
      <c r="BCC50" s="162"/>
      <c r="BCD50" s="162"/>
      <c r="BCE50" s="162"/>
      <c r="BCF50" s="162"/>
      <c r="BCG50" s="162"/>
      <c r="BCH50" s="162"/>
      <c r="BCI50" s="162"/>
      <c r="BCJ50" s="162"/>
      <c r="BCK50" s="162"/>
      <c r="BCL50" s="162"/>
      <c r="BCM50" s="162"/>
      <c r="BCN50" s="162"/>
      <c r="BCO50" s="162"/>
      <c r="BCP50" s="162"/>
      <c r="BCQ50" s="162"/>
      <c r="BCR50" s="162"/>
      <c r="BCS50" s="162"/>
      <c r="BCT50" s="162"/>
      <c r="BCU50" s="162"/>
      <c r="BCV50" s="162"/>
      <c r="BCW50" s="162"/>
      <c r="BCX50" s="162"/>
      <c r="BCY50" s="162"/>
      <c r="BCZ50" s="162"/>
      <c r="BDA50" s="162"/>
      <c r="BDB50" s="162"/>
      <c r="BDC50" s="162"/>
      <c r="BDD50" s="162"/>
      <c r="BDE50" s="162"/>
      <c r="BDF50" s="162"/>
      <c r="BDG50" s="162"/>
      <c r="BDH50" s="162"/>
      <c r="BDI50" s="162"/>
      <c r="BDJ50" s="162"/>
      <c r="BDK50" s="162"/>
      <c r="BDL50" s="162"/>
      <c r="BDM50" s="162"/>
      <c r="BDN50" s="162"/>
      <c r="BDO50" s="162"/>
      <c r="BDP50" s="162"/>
      <c r="BDQ50" s="162"/>
      <c r="BDR50" s="162"/>
      <c r="BDS50" s="162"/>
      <c r="BDT50" s="162"/>
      <c r="BDU50" s="162"/>
      <c r="BDV50" s="162"/>
      <c r="BDW50" s="162"/>
      <c r="BDX50" s="162"/>
      <c r="BDY50" s="162"/>
      <c r="BDZ50" s="162"/>
      <c r="BEA50" s="162"/>
      <c r="BEB50" s="162"/>
      <c r="BEC50" s="162"/>
      <c r="BED50" s="162"/>
      <c r="BEE50" s="162"/>
      <c r="BEF50" s="162"/>
      <c r="BEG50" s="162"/>
      <c r="BEH50" s="162"/>
      <c r="BEI50" s="162"/>
      <c r="BEJ50" s="162"/>
      <c r="BEK50" s="162"/>
      <c r="BEL50" s="162"/>
      <c r="BEM50" s="162"/>
      <c r="BEN50" s="162"/>
      <c r="BEO50" s="162"/>
      <c r="BEP50" s="162"/>
      <c r="BEQ50" s="162"/>
      <c r="BER50" s="162"/>
      <c r="BES50" s="162"/>
      <c r="BET50" s="162"/>
      <c r="BEU50" s="162"/>
      <c r="BEV50" s="162"/>
      <c r="BEW50" s="162"/>
      <c r="BEX50" s="162"/>
      <c r="BEY50" s="162"/>
      <c r="BEZ50" s="162"/>
      <c r="BFA50" s="162"/>
      <c r="BFB50" s="162"/>
      <c r="BFC50" s="162"/>
      <c r="BFD50" s="162"/>
      <c r="BFE50" s="162"/>
      <c r="BFF50" s="162"/>
      <c r="BFG50" s="162"/>
      <c r="BFH50" s="162"/>
      <c r="BFI50" s="162"/>
      <c r="BFJ50" s="162"/>
      <c r="BFK50" s="162"/>
      <c r="BFL50" s="162"/>
      <c r="BFM50" s="162"/>
      <c r="BFN50" s="162"/>
      <c r="BFO50" s="162"/>
      <c r="BFP50" s="162"/>
      <c r="BFQ50" s="162"/>
      <c r="BFR50" s="162"/>
      <c r="BFS50" s="162"/>
      <c r="BFT50" s="162"/>
      <c r="BFU50" s="162"/>
      <c r="BFV50" s="162"/>
      <c r="BFW50" s="162"/>
      <c r="BFX50" s="162"/>
      <c r="BFY50" s="162"/>
      <c r="BFZ50" s="162"/>
      <c r="BGA50" s="162"/>
      <c r="BGB50" s="162"/>
      <c r="BGC50" s="162"/>
      <c r="BGD50" s="162"/>
      <c r="BGE50" s="162"/>
      <c r="BGF50" s="162"/>
      <c r="BGG50" s="162"/>
      <c r="BGH50" s="162"/>
      <c r="BGI50" s="162"/>
      <c r="BGJ50" s="162"/>
      <c r="BGK50" s="162"/>
      <c r="BGL50" s="162"/>
      <c r="BGM50" s="162"/>
      <c r="BGN50" s="162"/>
      <c r="BGO50" s="162"/>
      <c r="BGP50" s="162"/>
      <c r="BGQ50" s="162"/>
      <c r="BGR50" s="162"/>
      <c r="BGS50" s="162"/>
      <c r="BGT50" s="162"/>
      <c r="BGU50" s="162"/>
      <c r="BGV50" s="162"/>
      <c r="BGW50" s="162"/>
      <c r="BGX50" s="162"/>
      <c r="BGY50" s="162"/>
      <c r="BGZ50" s="162"/>
      <c r="BHA50" s="162"/>
      <c r="BHB50" s="162"/>
      <c r="BHC50" s="162"/>
      <c r="BHD50" s="162"/>
      <c r="BHE50" s="162"/>
      <c r="BHF50" s="162"/>
      <c r="BHG50" s="162"/>
      <c r="BHH50" s="162"/>
      <c r="BHI50" s="162"/>
      <c r="BHJ50" s="162"/>
      <c r="BHK50" s="162"/>
      <c r="BHL50" s="162"/>
      <c r="BHM50" s="162"/>
      <c r="BHN50" s="162"/>
      <c r="BHO50" s="162"/>
      <c r="BHP50" s="162"/>
      <c r="BHQ50" s="162"/>
      <c r="BHR50" s="162"/>
      <c r="BHS50" s="162"/>
      <c r="BHT50" s="162"/>
      <c r="BHU50" s="162"/>
      <c r="BHV50" s="162"/>
      <c r="BHW50" s="162"/>
      <c r="BHX50" s="162"/>
      <c r="BHY50" s="162"/>
      <c r="BHZ50" s="162"/>
      <c r="BIA50" s="162"/>
      <c r="BIB50" s="162"/>
      <c r="BIC50" s="162"/>
      <c r="BID50" s="162"/>
      <c r="BIE50" s="162"/>
      <c r="BIF50" s="162"/>
      <c r="BIG50" s="162"/>
      <c r="BIH50" s="162"/>
      <c r="BII50" s="162"/>
      <c r="BIJ50" s="162"/>
      <c r="BIK50" s="162"/>
      <c r="BIL50" s="162"/>
      <c r="BIM50" s="162"/>
      <c r="BIN50" s="162"/>
      <c r="BIO50" s="162"/>
      <c r="BIP50" s="162"/>
      <c r="BIQ50" s="162"/>
      <c r="BIR50" s="162"/>
      <c r="BIS50" s="162"/>
      <c r="BIT50" s="162"/>
      <c r="BIU50" s="162"/>
      <c r="BIV50" s="162"/>
      <c r="BIW50" s="162"/>
      <c r="BIX50" s="162"/>
      <c r="BIY50" s="162"/>
      <c r="BIZ50" s="162"/>
      <c r="BJA50" s="162"/>
      <c r="BJB50" s="162"/>
      <c r="BJC50" s="162"/>
      <c r="BJD50" s="162"/>
      <c r="BJE50" s="162"/>
      <c r="BJF50" s="162"/>
      <c r="BJG50" s="162"/>
      <c r="BJH50" s="162"/>
      <c r="BJI50" s="162"/>
      <c r="BJJ50" s="162"/>
      <c r="BJK50" s="162"/>
      <c r="BJL50" s="162"/>
      <c r="BJM50" s="162"/>
      <c r="BJN50" s="162"/>
      <c r="BJO50" s="162"/>
      <c r="BJP50" s="162"/>
      <c r="BJQ50" s="162"/>
      <c r="BJR50" s="162"/>
      <c r="BJS50" s="162"/>
      <c r="BJT50" s="162"/>
      <c r="BJU50" s="162"/>
      <c r="BJV50" s="162"/>
      <c r="BJW50" s="162"/>
      <c r="BJX50" s="162"/>
      <c r="BJY50" s="162"/>
      <c r="BJZ50" s="162"/>
      <c r="BKA50" s="162"/>
      <c r="BKB50" s="162"/>
      <c r="BKC50" s="162"/>
      <c r="BKD50" s="162"/>
      <c r="BKE50" s="162"/>
      <c r="BKF50" s="162"/>
      <c r="BKG50" s="162"/>
      <c r="BKH50" s="162"/>
      <c r="BKI50" s="162"/>
      <c r="BKJ50" s="162"/>
      <c r="BKK50" s="162"/>
      <c r="BKL50" s="162"/>
      <c r="BKM50" s="162"/>
      <c r="BKN50" s="162"/>
      <c r="BKO50" s="162"/>
      <c r="BKP50" s="162"/>
      <c r="BKQ50" s="162"/>
      <c r="BKR50" s="162"/>
      <c r="BKS50" s="162"/>
      <c r="BKT50" s="162"/>
      <c r="BKU50" s="162"/>
      <c r="BKV50" s="162"/>
      <c r="BKW50" s="162"/>
      <c r="BKX50" s="162"/>
      <c r="BKY50" s="162"/>
      <c r="BKZ50" s="162"/>
      <c r="BLA50" s="162"/>
      <c r="BLB50" s="162"/>
      <c r="BLC50" s="162"/>
      <c r="BLD50" s="162"/>
      <c r="BLE50" s="162"/>
      <c r="BLF50" s="162"/>
      <c r="BLG50" s="162"/>
      <c r="BLH50" s="162"/>
      <c r="BLI50" s="162"/>
      <c r="BLJ50" s="162"/>
      <c r="BLK50" s="162"/>
      <c r="BLL50" s="162"/>
      <c r="BLM50" s="162"/>
      <c r="BLN50" s="162"/>
      <c r="BLO50" s="162"/>
      <c r="BLP50" s="162"/>
      <c r="BLQ50" s="162"/>
      <c r="BLR50" s="162"/>
      <c r="BLS50" s="162"/>
      <c r="BLT50" s="162"/>
      <c r="BLU50" s="162"/>
      <c r="BLV50" s="162"/>
      <c r="BLW50" s="162"/>
      <c r="BLX50" s="162"/>
      <c r="BLY50" s="162"/>
      <c r="BLZ50" s="162"/>
      <c r="BMA50" s="162"/>
      <c r="BMB50" s="162"/>
      <c r="BMC50" s="162"/>
      <c r="BMD50" s="162"/>
      <c r="BME50" s="162"/>
      <c r="BMF50" s="162"/>
      <c r="BMG50" s="162"/>
      <c r="BMH50" s="162"/>
      <c r="BMI50" s="162"/>
      <c r="BMJ50" s="162"/>
      <c r="BMK50" s="162"/>
      <c r="BML50" s="162"/>
      <c r="BMM50" s="162"/>
      <c r="BMN50" s="162"/>
      <c r="BMO50" s="162"/>
      <c r="BMP50" s="162"/>
      <c r="BMQ50" s="162"/>
      <c r="BMR50" s="162"/>
      <c r="BMS50" s="162"/>
      <c r="BMT50" s="162"/>
      <c r="BMU50" s="162"/>
      <c r="BMV50" s="162"/>
      <c r="BMW50" s="162"/>
      <c r="BMX50" s="162"/>
      <c r="BMY50" s="162"/>
      <c r="BMZ50" s="162"/>
      <c r="BNA50" s="162"/>
      <c r="BNB50" s="162"/>
      <c r="BNC50" s="162"/>
      <c r="BND50" s="162"/>
      <c r="BNE50" s="162"/>
      <c r="BNF50" s="162"/>
      <c r="BNG50" s="162"/>
      <c r="BNH50" s="162"/>
      <c r="BNI50" s="162"/>
      <c r="BNJ50" s="162"/>
      <c r="BNK50" s="162"/>
      <c r="BNL50" s="162"/>
      <c r="BNM50" s="162"/>
      <c r="BNN50" s="162"/>
      <c r="BNO50" s="162"/>
      <c r="BNP50" s="162"/>
      <c r="BNQ50" s="162"/>
      <c r="BNR50" s="162"/>
      <c r="BNS50" s="162"/>
      <c r="BNT50" s="162"/>
      <c r="BNU50" s="162"/>
      <c r="BNV50" s="162"/>
      <c r="BNW50" s="162"/>
      <c r="BNX50" s="162"/>
      <c r="BNY50" s="162"/>
      <c r="BNZ50" s="162"/>
      <c r="BOA50" s="162"/>
      <c r="BOB50" s="162"/>
      <c r="BOC50" s="162"/>
      <c r="BOD50" s="162"/>
      <c r="BOE50" s="162"/>
      <c r="BOF50" s="162"/>
      <c r="BOG50" s="162"/>
      <c r="BOH50" s="162"/>
      <c r="BOI50" s="162"/>
      <c r="BOJ50" s="162"/>
      <c r="BOK50" s="162"/>
      <c r="BOL50" s="162"/>
      <c r="BOM50" s="162"/>
      <c r="BON50" s="162"/>
      <c r="BOO50" s="162"/>
      <c r="BOP50" s="162"/>
      <c r="BOQ50" s="162"/>
      <c r="BOR50" s="162"/>
      <c r="BOS50" s="162"/>
      <c r="BOT50" s="162"/>
      <c r="BOU50" s="162"/>
      <c r="BOV50" s="162"/>
      <c r="BOW50" s="162"/>
      <c r="BOX50" s="162"/>
      <c r="BOY50" s="162"/>
      <c r="BOZ50" s="162"/>
      <c r="BPA50" s="162"/>
      <c r="BPB50" s="162"/>
      <c r="BPC50" s="162"/>
      <c r="BPD50" s="162"/>
      <c r="BPE50" s="162"/>
      <c r="BPF50" s="162"/>
      <c r="BPG50" s="162"/>
      <c r="BPH50" s="162"/>
      <c r="BPI50" s="162"/>
      <c r="BPJ50" s="162"/>
      <c r="BPK50" s="162"/>
      <c r="BPL50" s="162"/>
      <c r="BPM50" s="162"/>
      <c r="BPN50" s="162"/>
      <c r="BPO50" s="162"/>
      <c r="BPP50" s="162"/>
      <c r="BPQ50" s="162"/>
      <c r="BPR50" s="162"/>
      <c r="BPS50" s="162"/>
      <c r="BPT50" s="162"/>
      <c r="BPU50" s="162"/>
      <c r="BPV50" s="162"/>
      <c r="BPW50" s="162"/>
      <c r="BPX50" s="162"/>
      <c r="BPY50" s="162"/>
      <c r="BPZ50" s="162"/>
      <c r="BQA50" s="162"/>
      <c r="BQB50" s="162"/>
      <c r="BQC50" s="162"/>
      <c r="BQD50" s="162"/>
      <c r="BQE50" s="162"/>
      <c r="BQF50" s="162"/>
      <c r="BQG50" s="162"/>
      <c r="BQH50" s="162"/>
      <c r="BQI50" s="162"/>
      <c r="BQJ50" s="162"/>
      <c r="BQK50" s="162"/>
      <c r="BQL50" s="162"/>
      <c r="BQM50" s="162"/>
      <c r="BQN50" s="162"/>
      <c r="BQO50" s="162"/>
      <c r="BQP50" s="162"/>
      <c r="BQQ50" s="162"/>
      <c r="BQR50" s="162"/>
      <c r="BQS50" s="162"/>
      <c r="BQT50" s="162"/>
      <c r="BQU50" s="162"/>
      <c r="BQV50" s="162"/>
      <c r="BQW50" s="162"/>
      <c r="BQX50" s="162"/>
      <c r="BQY50" s="162"/>
      <c r="BQZ50" s="162"/>
      <c r="BRA50" s="162"/>
      <c r="BRB50" s="162"/>
      <c r="BRC50" s="162"/>
      <c r="BRD50" s="162"/>
      <c r="BRE50" s="162"/>
      <c r="BRF50" s="162"/>
      <c r="BRG50" s="162"/>
      <c r="BRH50" s="162"/>
      <c r="BRI50" s="162"/>
      <c r="BRJ50" s="162"/>
      <c r="BRK50" s="162"/>
      <c r="BRL50" s="162"/>
      <c r="BRM50" s="162"/>
      <c r="BRN50" s="162"/>
      <c r="BRO50" s="162"/>
      <c r="BRP50" s="162"/>
      <c r="BRQ50" s="162"/>
      <c r="BRR50" s="162"/>
      <c r="BRS50" s="162"/>
      <c r="BRT50" s="162"/>
      <c r="BRU50" s="162"/>
      <c r="BRV50" s="162"/>
      <c r="BRW50" s="162"/>
      <c r="BRX50" s="162"/>
      <c r="BRY50" s="162"/>
      <c r="BRZ50" s="162"/>
      <c r="BSA50" s="162"/>
      <c r="BSB50" s="162"/>
      <c r="BSC50" s="162"/>
      <c r="BSD50" s="162"/>
      <c r="BSE50" s="162"/>
      <c r="BSF50" s="162"/>
      <c r="BSG50" s="162"/>
      <c r="BSH50" s="162"/>
      <c r="BSI50" s="162"/>
      <c r="BSJ50" s="162"/>
      <c r="BSK50" s="162"/>
      <c r="BSL50" s="162"/>
      <c r="BSM50" s="162"/>
      <c r="BSN50" s="162"/>
      <c r="BSO50" s="162"/>
      <c r="BSP50" s="162"/>
      <c r="BSQ50" s="162"/>
      <c r="BSR50" s="162"/>
      <c r="BSS50" s="162"/>
      <c r="BST50" s="162"/>
      <c r="BSU50" s="162"/>
      <c r="BSV50" s="162"/>
      <c r="BSW50" s="162"/>
      <c r="BSX50" s="162"/>
      <c r="BSY50" s="162"/>
      <c r="BSZ50" s="162"/>
      <c r="BTA50" s="162"/>
      <c r="BTB50" s="162"/>
      <c r="BTC50" s="162"/>
      <c r="BTD50" s="162"/>
      <c r="BTE50" s="162"/>
      <c r="BTF50" s="162"/>
      <c r="BTG50" s="162"/>
      <c r="BTH50" s="162"/>
      <c r="BTI50" s="162"/>
      <c r="BTJ50" s="162"/>
      <c r="BTK50" s="162"/>
      <c r="BTL50" s="162"/>
      <c r="BTM50" s="162"/>
      <c r="BTN50" s="162"/>
      <c r="BTO50" s="162"/>
      <c r="BTP50" s="162"/>
      <c r="BTQ50" s="162"/>
      <c r="BTR50" s="162"/>
      <c r="BTS50" s="162"/>
      <c r="BTT50" s="162"/>
      <c r="BTU50" s="162"/>
      <c r="BTV50" s="162"/>
      <c r="BTW50" s="162"/>
      <c r="BTX50" s="162"/>
      <c r="BTY50" s="162"/>
      <c r="BTZ50" s="162"/>
      <c r="BUA50" s="162"/>
      <c r="BUB50" s="162"/>
      <c r="BUC50" s="162"/>
      <c r="BUD50" s="162"/>
      <c r="BUE50" s="162"/>
      <c r="BUF50" s="162"/>
      <c r="BUG50" s="162"/>
      <c r="BUH50" s="162"/>
      <c r="BUI50" s="162"/>
      <c r="BUJ50" s="162"/>
      <c r="BUK50" s="162"/>
      <c r="BUL50" s="162"/>
      <c r="BUM50" s="162"/>
      <c r="BUN50" s="162"/>
      <c r="BUO50" s="162"/>
      <c r="BUP50" s="162"/>
      <c r="BUQ50" s="162"/>
      <c r="BUR50" s="162"/>
      <c r="BUS50" s="162"/>
      <c r="BUT50" s="162"/>
      <c r="BUU50" s="162"/>
      <c r="BUV50" s="162"/>
      <c r="BUW50" s="162"/>
      <c r="BUX50" s="162"/>
      <c r="BUY50" s="162"/>
      <c r="BUZ50" s="162"/>
      <c r="BVA50" s="162"/>
      <c r="BVB50" s="162"/>
      <c r="BVC50" s="162"/>
      <c r="BVD50" s="162"/>
      <c r="BVE50" s="162"/>
      <c r="BVF50" s="162"/>
      <c r="BVG50" s="162"/>
      <c r="BVH50" s="162"/>
      <c r="BVI50" s="162"/>
      <c r="BVJ50" s="162"/>
      <c r="BVK50" s="162"/>
      <c r="BVL50" s="162"/>
      <c r="BVM50" s="162"/>
      <c r="BVN50" s="162"/>
      <c r="BVO50" s="162"/>
      <c r="BVP50" s="162"/>
      <c r="BVQ50" s="162"/>
      <c r="BVR50" s="162"/>
      <c r="BVS50" s="162"/>
      <c r="BVT50" s="162"/>
      <c r="BVU50" s="162"/>
      <c r="BVV50" s="162"/>
      <c r="BVW50" s="162"/>
      <c r="BVX50" s="162"/>
      <c r="BVY50" s="162"/>
      <c r="BVZ50" s="162"/>
      <c r="BWA50" s="162"/>
      <c r="BWB50" s="162"/>
      <c r="BWC50" s="162"/>
      <c r="BWD50" s="162"/>
      <c r="BWE50" s="162"/>
      <c r="BWF50" s="162"/>
      <c r="BWG50" s="162"/>
      <c r="BWH50" s="162"/>
      <c r="BWI50" s="162"/>
      <c r="BWJ50" s="162"/>
      <c r="BWK50" s="162"/>
      <c r="BWL50" s="162"/>
      <c r="BWM50" s="162"/>
      <c r="BWN50" s="162"/>
      <c r="BWO50" s="162"/>
      <c r="BWP50" s="162"/>
      <c r="BWQ50" s="162"/>
      <c r="BWR50" s="162"/>
      <c r="BWS50" s="162"/>
      <c r="BWT50" s="162"/>
      <c r="BWU50" s="162"/>
      <c r="BWV50" s="162"/>
      <c r="BWW50" s="162"/>
      <c r="BWX50" s="162"/>
      <c r="BWY50" s="162"/>
      <c r="BWZ50" s="162"/>
      <c r="BXA50" s="162"/>
      <c r="BXB50" s="162"/>
      <c r="BXC50" s="162"/>
      <c r="BXD50" s="162"/>
      <c r="BXE50" s="162"/>
      <c r="BXF50" s="162"/>
      <c r="BXG50" s="162"/>
      <c r="BXH50" s="162"/>
      <c r="BXI50" s="162"/>
      <c r="BXJ50" s="162"/>
      <c r="BXK50" s="162"/>
      <c r="BXL50" s="162"/>
      <c r="BXM50" s="162"/>
      <c r="BXN50" s="162"/>
      <c r="BXO50" s="162"/>
      <c r="BXP50" s="162"/>
      <c r="BXQ50" s="162"/>
      <c r="BXR50" s="162"/>
      <c r="BXS50" s="162"/>
      <c r="BXT50" s="162"/>
      <c r="BXU50" s="162"/>
      <c r="BXV50" s="162"/>
      <c r="BXW50" s="162"/>
      <c r="BXX50" s="162"/>
      <c r="BXY50" s="162"/>
      <c r="BXZ50" s="162"/>
      <c r="BYA50" s="162"/>
      <c r="BYB50" s="162"/>
      <c r="BYC50" s="162"/>
      <c r="BYD50" s="162"/>
      <c r="BYE50" s="162"/>
      <c r="BYF50" s="162"/>
      <c r="BYG50" s="162"/>
      <c r="BYH50" s="162"/>
      <c r="BYI50" s="162"/>
      <c r="BYJ50" s="162"/>
      <c r="BYK50" s="162"/>
      <c r="BYL50" s="162"/>
      <c r="BYM50" s="162"/>
      <c r="BYN50" s="162"/>
      <c r="BYO50" s="162"/>
      <c r="BYP50" s="162"/>
      <c r="BYQ50" s="162"/>
      <c r="BYR50" s="162"/>
      <c r="BYS50" s="162"/>
      <c r="BYT50" s="162"/>
      <c r="BYU50" s="162"/>
      <c r="BYV50" s="162"/>
      <c r="BYW50" s="162"/>
      <c r="BYX50" s="162"/>
      <c r="BYY50" s="162"/>
      <c r="BYZ50" s="162"/>
      <c r="BZA50" s="162"/>
      <c r="BZB50" s="162"/>
      <c r="BZC50" s="162"/>
      <c r="BZD50" s="162"/>
      <c r="BZE50" s="162"/>
      <c r="BZF50" s="162"/>
      <c r="BZG50" s="162"/>
      <c r="BZH50" s="162"/>
      <c r="BZI50" s="162"/>
      <c r="BZJ50" s="162"/>
      <c r="BZK50" s="162"/>
      <c r="BZL50" s="162"/>
      <c r="BZM50" s="162"/>
      <c r="BZN50" s="162"/>
      <c r="BZO50" s="162"/>
      <c r="BZP50" s="162"/>
      <c r="BZQ50" s="162"/>
      <c r="BZR50" s="162"/>
      <c r="BZS50" s="162"/>
      <c r="BZT50" s="162"/>
      <c r="BZU50" s="162"/>
      <c r="BZV50" s="162"/>
      <c r="BZW50" s="162"/>
      <c r="BZX50" s="162"/>
      <c r="BZY50" s="162"/>
      <c r="BZZ50" s="162"/>
      <c r="CAA50" s="162"/>
      <c r="CAB50" s="162"/>
      <c r="CAC50" s="162"/>
      <c r="CAD50" s="162"/>
      <c r="CAE50" s="162"/>
      <c r="CAF50" s="162"/>
      <c r="CAG50" s="162"/>
      <c r="CAH50" s="162"/>
      <c r="CAI50" s="162"/>
      <c r="CAJ50" s="162"/>
      <c r="CAK50" s="162"/>
      <c r="CAL50" s="162"/>
      <c r="CAM50" s="162"/>
      <c r="CAN50" s="162"/>
      <c r="CAO50" s="162"/>
      <c r="CAP50" s="162"/>
      <c r="CAQ50" s="162"/>
      <c r="CAR50" s="162"/>
      <c r="CAS50" s="162"/>
      <c r="CAT50" s="162"/>
      <c r="CAU50" s="162"/>
      <c r="CAV50" s="162"/>
      <c r="CAW50" s="162"/>
      <c r="CAX50" s="162"/>
      <c r="CAY50" s="162"/>
      <c r="CAZ50" s="162"/>
      <c r="CBA50" s="162"/>
      <c r="CBB50" s="162"/>
      <c r="CBC50" s="162"/>
      <c r="CBD50" s="162"/>
      <c r="CBE50" s="162"/>
      <c r="CBF50" s="162"/>
      <c r="CBG50" s="162"/>
      <c r="CBH50" s="162"/>
      <c r="CBI50" s="162"/>
      <c r="CBJ50" s="162"/>
      <c r="CBK50" s="162"/>
      <c r="CBL50" s="162"/>
      <c r="CBM50" s="162"/>
      <c r="CBN50" s="162"/>
      <c r="CBO50" s="162"/>
      <c r="CBP50" s="162"/>
      <c r="CBQ50" s="162"/>
      <c r="CBR50" s="162"/>
      <c r="CBS50" s="162"/>
      <c r="CBT50" s="162"/>
      <c r="CBU50" s="162"/>
      <c r="CBV50" s="162"/>
      <c r="CBW50" s="162"/>
      <c r="CBX50" s="162"/>
      <c r="CBY50" s="162"/>
      <c r="CBZ50" s="162"/>
      <c r="CCA50" s="162"/>
      <c r="CCB50" s="162"/>
      <c r="CCC50" s="162"/>
      <c r="CCD50" s="162"/>
      <c r="CCE50" s="162"/>
      <c r="CCF50" s="162"/>
      <c r="CCG50" s="162"/>
      <c r="CCH50" s="162"/>
      <c r="CCI50" s="162"/>
      <c r="CCJ50" s="162"/>
      <c r="CCK50" s="162"/>
      <c r="CCL50" s="162"/>
      <c r="CCM50" s="162"/>
      <c r="CCN50" s="162"/>
      <c r="CCO50" s="162"/>
      <c r="CCP50" s="162"/>
      <c r="CCQ50" s="162"/>
      <c r="CCR50" s="162"/>
      <c r="CCS50" s="162"/>
      <c r="CCT50" s="162"/>
      <c r="CCU50" s="162"/>
      <c r="CCV50" s="162"/>
      <c r="CCW50" s="162"/>
      <c r="CCX50" s="162"/>
      <c r="CCY50" s="162"/>
      <c r="CCZ50" s="162"/>
      <c r="CDA50" s="162"/>
      <c r="CDB50" s="162"/>
      <c r="CDC50" s="162"/>
      <c r="CDD50" s="162"/>
      <c r="CDE50" s="162"/>
      <c r="CDF50" s="162"/>
      <c r="CDG50" s="162"/>
      <c r="CDH50" s="162"/>
      <c r="CDI50" s="162"/>
      <c r="CDJ50" s="162"/>
      <c r="CDK50" s="162"/>
      <c r="CDL50" s="162"/>
      <c r="CDM50" s="162"/>
      <c r="CDN50" s="162"/>
      <c r="CDO50" s="162"/>
      <c r="CDP50" s="162"/>
      <c r="CDQ50" s="162"/>
      <c r="CDR50" s="162"/>
      <c r="CDS50" s="162"/>
      <c r="CDT50" s="162"/>
      <c r="CDU50" s="162"/>
      <c r="CDV50" s="162"/>
      <c r="CDW50" s="162"/>
      <c r="CDX50" s="162"/>
      <c r="CDY50" s="162"/>
      <c r="CDZ50" s="162"/>
      <c r="CEA50" s="162"/>
      <c r="CEB50" s="162"/>
      <c r="CEC50" s="162"/>
      <c r="CED50" s="162"/>
      <c r="CEE50" s="162"/>
      <c r="CEF50" s="162"/>
      <c r="CEG50" s="162"/>
      <c r="CEH50" s="162"/>
      <c r="CEI50" s="162"/>
      <c r="CEJ50" s="162"/>
      <c r="CEK50" s="162"/>
      <c r="CEL50" s="162"/>
      <c r="CEM50" s="162"/>
      <c r="CEN50" s="162"/>
      <c r="CEO50" s="162"/>
      <c r="CEP50" s="162"/>
      <c r="CEQ50" s="162"/>
      <c r="CER50" s="162"/>
      <c r="CES50" s="162"/>
      <c r="CET50" s="162"/>
      <c r="CEU50" s="162"/>
      <c r="CEV50" s="162"/>
      <c r="CEW50" s="162"/>
      <c r="CEX50" s="162"/>
      <c r="CEY50" s="162"/>
      <c r="CEZ50" s="162"/>
      <c r="CFA50" s="162"/>
      <c r="CFB50" s="162"/>
      <c r="CFC50" s="162"/>
      <c r="CFD50" s="162"/>
      <c r="CFE50" s="162"/>
      <c r="CFF50" s="162"/>
      <c r="CFG50" s="162"/>
      <c r="CFH50" s="162"/>
      <c r="CFI50" s="162"/>
      <c r="CFJ50" s="162"/>
      <c r="CFK50" s="162"/>
      <c r="CFL50" s="162"/>
      <c r="CFM50" s="162"/>
      <c r="CFN50" s="162"/>
      <c r="CFO50" s="162"/>
      <c r="CFP50" s="162"/>
      <c r="CFQ50" s="162"/>
      <c r="CFR50" s="162"/>
      <c r="CFS50" s="162"/>
      <c r="CFT50" s="162"/>
      <c r="CFU50" s="162"/>
      <c r="CFV50" s="162"/>
      <c r="CFW50" s="162"/>
      <c r="CFX50" s="162"/>
      <c r="CFY50" s="162"/>
      <c r="CFZ50" s="162"/>
      <c r="CGA50" s="162"/>
      <c r="CGB50" s="162"/>
      <c r="CGC50" s="162"/>
      <c r="CGD50" s="162"/>
      <c r="CGE50" s="162"/>
      <c r="CGF50" s="162"/>
      <c r="CGG50" s="162"/>
      <c r="CGH50" s="162"/>
      <c r="CGI50" s="162"/>
      <c r="CGJ50" s="162"/>
      <c r="CGK50" s="162"/>
      <c r="CGL50" s="162"/>
      <c r="CGM50" s="162"/>
      <c r="CGN50" s="162"/>
      <c r="CGO50" s="162"/>
      <c r="CGP50" s="162"/>
      <c r="CGQ50" s="162"/>
      <c r="CGR50" s="162"/>
      <c r="CGS50" s="162"/>
      <c r="CGT50" s="162"/>
      <c r="CGU50" s="162"/>
      <c r="CGV50" s="162"/>
      <c r="CGW50" s="162"/>
      <c r="CGX50" s="162"/>
      <c r="CGY50" s="162"/>
      <c r="CGZ50" s="162"/>
      <c r="CHA50" s="162"/>
      <c r="CHB50" s="162"/>
      <c r="CHC50" s="162"/>
      <c r="CHD50" s="162"/>
      <c r="CHE50" s="162"/>
      <c r="CHF50" s="162"/>
      <c r="CHG50" s="162"/>
      <c r="CHH50" s="162"/>
      <c r="CHI50" s="162"/>
      <c r="CHJ50" s="162"/>
      <c r="CHK50" s="162"/>
      <c r="CHL50" s="162"/>
      <c r="CHM50" s="162"/>
      <c r="CHN50" s="162"/>
      <c r="CHO50" s="162"/>
      <c r="CHP50" s="162"/>
      <c r="CHQ50" s="162"/>
      <c r="CHR50" s="162"/>
      <c r="CHS50" s="162"/>
      <c r="CHT50" s="162"/>
      <c r="CHU50" s="162"/>
      <c r="CHV50" s="162"/>
      <c r="CHW50" s="162"/>
      <c r="CHX50" s="162"/>
      <c r="CHY50" s="162"/>
      <c r="CHZ50" s="162"/>
      <c r="CIA50" s="162"/>
      <c r="CIB50" s="162"/>
      <c r="CIC50" s="162"/>
      <c r="CID50" s="162"/>
      <c r="CIE50" s="162"/>
      <c r="CIF50" s="162"/>
      <c r="CIG50" s="162"/>
      <c r="CIH50" s="162"/>
      <c r="CII50" s="162"/>
      <c r="CIJ50" s="162"/>
      <c r="CIK50" s="162"/>
      <c r="CIL50" s="162"/>
      <c r="CIM50" s="162"/>
      <c r="CIN50" s="162"/>
      <c r="CIO50" s="162"/>
      <c r="CIP50" s="162"/>
      <c r="CIQ50" s="162"/>
      <c r="CIR50" s="162"/>
      <c r="CIS50" s="162"/>
      <c r="CIT50" s="162"/>
      <c r="CIU50" s="162"/>
      <c r="CIV50" s="162"/>
      <c r="CIW50" s="162"/>
      <c r="CIX50" s="162"/>
      <c r="CIY50" s="162"/>
      <c r="CIZ50" s="162"/>
      <c r="CJA50" s="162"/>
      <c r="CJB50" s="162"/>
      <c r="CJC50" s="162"/>
      <c r="CJD50" s="162"/>
      <c r="CJE50" s="162"/>
      <c r="CJF50" s="162"/>
      <c r="CJG50" s="162"/>
      <c r="CJH50" s="162"/>
      <c r="CJI50" s="162"/>
      <c r="CJJ50" s="162"/>
      <c r="CJK50" s="162"/>
      <c r="CJL50" s="162"/>
      <c r="CJM50" s="162"/>
      <c r="CJN50" s="162"/>
      <c r="CJO50" s="162"/>
      <c r="CJP50" s="162"/>
      <c r="CJQ50" s="162"/>
      <c r="CJR50" s="162"/>
      <c r="CJS50" s="162"/>
      <c r="CJT50" s="162"/>
      <c r="CJU50" s="162"/>
      <c r="CJV50" s="162"/>
      <c r="CJW50" s="162"/>
      <c r="CJX50" s="162"/>
      <c r="CJY50" s="162"/>
      <c r="CJZ50" s="162"/>
      <c r="CKA50" s="162"/>
      <c r="CKB50" s="162"/>
      <c r="CKC50" s="162"/>
      <c r="CKD50" s="162"/>
      <c r="CKE50" s="162"/>
      <c r="CKF50" s="162"/>
      <c r="CKG50" s="162"/>
      <c r="CKH50" s="162"/>
      <c r="CKI50" s="162"/>
      <c r="CKJ50" s="162"/>
      <c r="CKK50" s="162"/>
      <c r="CKL50" s="162"/>
      <c r="CKM50" s="162"/>
      <c r="CKN50" s="162"/>
      <c r="CKO50" s="162"/>
      <c r="CKP50" s="162"/>
      <c r="CKQ50" s="162"/>
      <c r="CKR50" s="162"/>
      <c r="CKS50" s="162"/>
      <c r="CKT50" s="162"/>
      <c r="CKU50" s="162"/>
      <c r="CKV50" s="162"/>
      <c r="CKW50" s="162"/>
      <c r="CKX50" s="162"/>
      <c r="CKY50" s="162"/>
      <c r="CKZ50" s="162"/>
      <c r="CLA50" s="162"/>
      <c r="CLB50" s="162"/>
      <c r="CLC50" s="162"/>
      <c r="CLD50" s="162"/>
      <c r="CLE50" s="162"/>
      <c r="CLF50" s="162"/>
      <c r="CLG50" s="162"/>
      <c r="CLH50" s="162"/>
      <c r="CLI50" s="162"/>
      <c r="CLJ50" s="162"/>
      <c r="CLK50" s="162"/>
      <c r="CLL50" s="162"/>
      <c r="CLM50" s="162"/>
      <c r="CLN50" s="162"/>
      <c r="CLO50" s="162"/>
      <c r="CLP50" s="162"/>
      <c r="CLQ50" s="162"/>
      <c r="CLR50" s="162"/>
      <c r="CLS50" s="162"/>
      <c r="CLT50" s="162"/>
      <c r="CLU50" s="162"/>
      <c r="CLV50" s="162"/>
      <c r="CLW50" s="162"/>
      <c r="CLX50" s="162"/>
      <c r="CLY50" s="162"/>
      <c r="CLZ50" s="162"/>
      <c r="CMA50" s="162"/>
      <c r="CMB50" s="162"/>
      <c r="CMC50" s="162"/>
      <c r="CMD50" s="162"/>
      <c r="CME50" s="162"/>
      <c r="CMF50" s="162"/>
      <c r="CMG50" s="162"/>
      <c r="CMH50" s="162"/>
      <c r="CMI50" s="162"/>
      <c r="CMJ50" s="162"/>
      <c r="CMK50" s="162"/>
      <c r="CML50" s="162"/>
      <c r="CMM50" s="162"/>
      <c r="CMN50" s="162"/>
      <c r="CMO50" s="162"/>
      <c r="CMP50" s="162"/>
      <c r="CMQ50" s="162"/>
      <c r="CMR50" s="162"/>
      <c r="CMS50" s="162"/>
      <c r="CMT50" s="162"/>
      <c r="CMU50" s="162"/>
      <c r="CMV50" s="162"/>
      <c r="CMW50" s="162"/>
      <c r="CMX50" s="162"/>
      <c r="CMY50" s="162"/>
      <c r="CMZ50" s="162"/>
      <c r="CNA50" s="162"/>
      <c r="CNB50" s="162"/>
      <c r="CNC50" s="162"/>
      <c r="CND50" s="162"/>
      <c r="CNE50" s="162"/>
      <c r="CNF50" s="162"/>
      <c r="CNG50" s="162"/>
      <c r="CNH50" s="162"/>
      <c r="CNI50" s="162"/>
      <c r="CNJ50" s="162"/>
      <c r="CNK50" s="162"/>
      <c r="CNL50" s="162"/>
      <c r="CNM50" s="162"/>
      <c r="CNN50" s="162"/>
      <c r="CNO50" s="162"/>
      <c r="CNP50" s="162"/>
      <c r="CNQ50" s="162"/>
      <c r="CNR50" s="162"/>
      <c r="CNS50" s="162"/>
      <c r="CNT50" s="162"/>
      <c r="CNU50" s="162"/>
      <c r="CNV50" s="162"/>
      <c r="CNW50" s="162"/>
      <c r="CNX50" s="162"/>
      <c r="CNY50" s="162"/>
      <c r="CNZ50" s="162"/>
      <c r="COA50" s="162"/>
      <c r="COB50" s="162"/>
      <c r="COC50" s="162"/>
      <c r="COD50" s="162"/>
      <c r="COE50" s="162"/>
      <c r="COF50" s="162"/>
      <c r="COG50" s="162"/>
      <c r="COH50" s="162"/>
      <c r="COI50" s="162"/>
      <c r="COJ50" s="162"/>
      <c r="COK50" s="162"/>
      <c r="COL50" s="162"/>
      <c r="COM50" s="162"/>
      <c r="CON50" s="162"/>
      <c r="COO50" s="162"/>
      <c r="COP50" s="162"/>
      <c r="COQ50" s="162"/>
      <c r="COR50" s="162"/>
      <c r="COS50" s="162"/>
      <c r="COT50" s="162"/>
      <c r="COU50" s="162"/>
      <c r="COV50" s="162"/>
      <c r="COW50" s="162"/>
      <c r="COX50" s="162"/>
      <c r="COY50" s="162"/>
      <c r="COZ50" s="162"/>
      <c r="CPA50" s="162"/>
      <c r="CPB50" s="162"/>
      <c r="CPC50" s="162"/>
      <c r="CPD50" s="162"/>
      <c r="CPE50" s="162"/>
      <c r="CPF50" s="162"/>
      <c r="CPG50" s="162"/>
      <c r="CPH50" s="162"/>
      <c r="CPI50" s="162"/>
      <c r="CPJ50" s="162"/>
      <c r="CPK50" s="162"/>
      <c r="CPL50" s="162"/>
      <c r="CPM50" s="162"/>
      <c r="CPN50" s="162"/>
      <c r="CPO50" s="162"/>
      <c r="CPP50" s="162"/>
      <c r="CPQ50" s="162"/>
      <c r="CPR50" s="162"/>
      <c r="CPS50" s="162"/>
      <c r="CPT50" s="162"/>
      <c r="CPU50" s="162"/>
      <c r="CPV50" s="162"/>
      <c r="CPW50" s="162"/>
      <c r="CPX50" s="162"/>
      <c r="CPY50" s="162"/>
      <c r="CPZ50" s="162"/>
      <c r="CQA50" s="162"/>
      <c r="CQB50" s="162"/>
      <c r="CQC50" s="162"/>
      <c r="CQD50" s="162"/>
      <c r="CQE50" s="162"/>
      <c r="CQF50" s="162"/>
      <c r="CQG50" s="162"/>
      <c r="CQH50" s="162"/>
      <c r="CQI50" s="162"/>
      <c r="CQJ50" s="162"/>
      <c r="CQK50" s="162"/>
      <c r="CQL50" s="162"/>
      <c r="CQM50" s="162"/>
      <c r="CQN50" s="162"/>
      <c r="CQO50" s="162"/>
      <c r="CQP50" s="162"/>
      <c r="CQQ50" s="162"/>
      <c r="CQR50" s="162"/>
      <c r="CQS50" s="162"/>
      <c r="CQT50" s="162"/>
      <c r="CQU50" s="162"/>
      <c r="CQV50" s="162"/>
      <c r="CQW50" s="162"/>
      <c r="CQX50" s="162"/>
      <c r="CQY50" s="162"/>
      <c r="CQZ50" s="162"/>
      <c r="CRA50" s="162"/>
      <c r="CRB50" s="162"/>
      <c r="CRC50" s="162"/>
      <c r="CRD50" s="162"/>
      <c r="CRE50" s="162"/>
      <c r="CRF50" s="162"/>
      <c r="CRG50" s="162"/>
      <c r="CRH50" s="162"/>
      <c r="CRI50" s="162"/>
      <c r="CRJ50" s="162"/>
      <c r="CRK50" s="162"/>
      <c r="CRL50" s="162"/>
      <c r="CRM50" s="162"/>
      <c r="CRN50" s="162"/>
      <c r="CRO50" s="162"/>
      <c r="CRP50" s="162"/>
      <c r="CRQ50" s="162"/>
      <c r="CRR50" s="162"/>
      <c r="CRS50" s="162"/>
      <c r="CRT50" s="162"/>
      <c r="CRU50" s="162"/>
      <c r="CRV50" s="162"/>
      <c r="CRW50" s="162"/>
      <c r="CRX50" s="162"/>
      <c r="CRY50" s="162"/>
      <c r="CRZ50" s="162"/>
      <c r="CSA50" s="162"/>
      <c r="CSB50" s="162"/>
      <c r="CSC50" s="162"/>
      <c r="CSD50" s="162"/>
      <c r="CSE50" s="162"/>
      <c r="CSF50" s="162"/>
      <c r="CSG50" s="162"/>
      <c r="CSH50" s="162"/>
      <c r="CSI50" s="162"/>
      <c r="CSJ50" s="162"/>
      <c r="CSK50" s="162"/>
      <c r="CSL50" s="162"/>
      <c r="CSM50" s="162"/>
      <c r="CSN50" s="162"/>
      <c r="CSO50" s="162"/>
      <c r="CSP50" s="162"/>
      <c r="CSQ50" s="162"/>
      <c r="CSR50" s="162"/>
      <c r="CSS50" s="162"/>
      <c r="CST50" s="162"/>
      <c r="CSU50" s="162"/>
      <c r="CSV50" s="162"/>
      <c r="CSW50" s="162"/>
      <c r="CSX50" s="162"/>
      <c r="CSY50" s="162"/>
      <c r="CSZ50" s="162"/>
      <c r="CTA50" s="162"/>
      <c r="CTB50" s="162"/>
      <c r="CTC50" s="162"/>
      <c r="CTD50" s="162"/>
      <c r="CTE50" s="162"/>
      <c r="CTF50" s="162"/>
      <c r="CTG50" s="162"/>
      <c r="CTH50" s="162"/>
      <c r="CTI50" s="162"/>
      <c r="CTJ50" s="162"/>
      <c r="CTK50" s="162"/>
      <c r="CTL50" s="162"/>
      <c r="CTM50" s="162"/>
      <c r="CTN50" s="162"/>
      <c r="CTO50" s="162"/>
      <c r="CTP50" s="162"/>
      <c r="CTQ50" s="162"/>
      <c r="CTR50" s="162"/>
      <c r="CTS50" s="162"/>
      <c r="CTT50" s="162"/>
      <c r="CTU50" s="162"/>
      <c r="CTV50" s="162"/>
      <c r="CTW50" s="162"/>
      <c r="CTX50" s="162"/>
      <c r="CTY50" s="162"/>
      <c r="CTZ50" s="162"/>
      <c r="CUA50" s="162"/>
      <c r="CUB50" s="162"/>
      <c r="CUC50" s="162"/>
      <c r="CUD50" s="162"/>
      <c r="CUE50" s="162"/>
      <c r="CUF50" s="162"/>
      <c r="CUG50" s="162"/>
      <c r="CUH50" s="162"/>
      <c r="CUI50" s="162"/>
      <c r="CUJ50" s="162"/>
      <c r="CUK50" s="162"/>
      <c r="CUL50" s="162"/>
      <c r="CUM50" s="162"/>
      <c r="CUN50" s="162"/>
      <c r="CUO50" s="162"/>
      <c r="CUP50" s="162"/>
      <c r="CUQ50" s="162"/>
      <c r="CUR50" s="162"/>
      <c r="CUS50" s="162"/>
      <c r="CUT50" s="162"/>
      <c r="CUU50" s="162"/>
      <c r="CUV50" s="162"/>
      <c r="CUW50" s="162"/>
      <c r="CUX50" s="162"/>
      <c r="CUY50" s="162"/>
      <c r="CUZ50" s="162"/>
      <c r="CVA50" s="162"/>
      <c r="CVB50" s="162"/>
      <c r="CVC50" s="162"/>
      <c r="CVD50" s="162"/>
      <c r="CVE50" s="162"/>
      <c r="CVF50" s="162"/>
      <c r="CVG50" s="162"/>
      <c r="CVH50" s="162"/>
      <c r="CVI50" s="162"/>
      <c r="CVJ50" s="162"/>
      <c r="CVK50" s="162"/>
      <c r="CVL50" s="162"/>
      <c r="CVM50" s="162"/>
      <c r="CVN50" s="162"/>
      <c r="CVO50" s="162"/>
      <c r="CVP50" s="162"/>
      <c r="CVQ50" s="162"/>
      <c r="CVR50" s="162"/>
      <c r="CVS50" s="162"/>
      <c r="CVT50" s="162"/>
      <c r="CVU50" s="162"/>
      <c r="CVV50" s="162"/>
      <c r="CVW50" s="162"/>
      <c r="CVX50" s="162"/>
      <c r="CVY50" s="162"/>
      <c r="CVZ50" s="162"/>
      <c r="CWA50" s="162"/>
      <c r="CWB50" s="162"/>
      <c r="CWC50" s="162"/>
      <c r="CWD50" s="162"/>
      <c r="CWE50" s="162"/>
      <c r="CWF50" s="162"/>
      <c r="CWG50" s="162"/>
      <c r="CWH50" s="162"/>
      <c r="CWI50" s="162"/>
      <c r="CWJ50" s="162"/>
      <c r="CWK50" s="162"/>
      <c r="CWL50" s="162"/>
      <c r="CWM50" s="162"/>
      <c r="CWN50" s="162"/>
      <c r="CWO50" s="162"/>
      <c r="CWP50" s="162"/>
      <c r="CWQ50" s="162"/>
      <c r="CWR50" s="162"/>
      <c r="CWS50" s="162"/>
      <c r="CWT50" s="162"/>
      <c r="CWU50" s="162"/>
      <c r="CWV50" s="162"/>
      <c r="CWW50" s="162"/>
      <c r="CWX50" s="162"/>
      <c r="CWY50" s="162"/>
      <c r="CWZ50" s="162"/>
      <c r="CXA50" s="162"/>
      <c r="CXB50" s="162"/>
      <c r="CXC50" s="162"/>
      <c r="CXD50" s="162"/>
      <c r="CXE50" s="162"/>
      <c r="CXF50" s="162"/>
      <c r="CXG50" s="162"/>
      <c r="CXH50" s="162"/>
      <c r="CXI50" s="162"/>
      <c r="CXJ50" s="162"/>
      <c r="CXK50" s="162"/>
      <c r="CXL50" s="162"/>
      <c r="CXM50" s="162"/>
      <c r="CXN50" s="162"/>
      <c r="CXO50" s="162"/>
      <c r="CXP50" s="162"/>
      <c r="CXQ50" s="162"/>
      <c r="CXR50" s="162"/>
      <c r="CXS50" s="162"/>
      <c r="CXT50" s="162"/>
      <c r="CXU50" s="162"/>
      <c r="CXV50" s="162"/>
      <c r="CXW50" s="162"/>
      <c r="CXX50" s="162"/>
      <c r="CXY50" s="162"/>
      <c r="CXZ50" s="162"/>
      <c r="CYA50" s="162"/>
      <c r="CYB50" s="162"/>
      <c r="CYC50" s="162"/>
      <c r="CYD50" s="162"/>
      <c r="CYE50" s="162"/>
      <c r="CYF50" s="162"/>
      <c r="CYG50" s="162"/>
      <c r="CYH50" s="162"/>
      <c r="CYI50" s="162"/>
      <c r="CYJ50" s="162"/>
      <c r="CYK50" s="162"/>
      <c r="CYL50" s="162"/>
      <c r="CYM50" s="162"/>
      <c r="CYN50" s="162"/>
      <c r="CYO50" s="162"/>
      <c r="CYP50" s="162"/>
      <c r="CYQ50" s="162"/>
      <c r="CYR50" s="162"/>
      <c r="CYS50" s="162"/>
      <c r="CYT50" s="162"/>
      <c r="CYU50" s="162"/>
      <c r="CYV50" s="162"/>
      <c r="CYW50" s="162"/>
      <c r="CYX50" s="162"/>
      <c r="CYY50" s="162"/>
      <c r="CYZ50" s="162"/>
      <c r="CZA50" s="162"/>
      <c r="CZB50" s="162"/>
      <c r="CZC50" s="162"/>
      <c r="CZD50" s="162"/>
      <c r="CZE50" s="162"/>
      <c r="CZF50" s="162"/>
      <c r="CZG50" s="162"/>
      <c r="CZH50" s="162"/>
      <c r="CZI50" s="162"/>
      <c r="CZJ50" s="162"/>
      <c r="CZK50" s="162"/>
      <c r="CZL50" s="162"/>
      <c r="CZM50" s="162"/>
      <c r="CZN50" s="162"/>
      <c r="CZO50" s="162"/>
      <c r="CZP50" s="162"/>
      <c r="CZQ50" s="162"/>
      <c r="CZR50" s="162"/>
      <c r="CZS50" s="162"/>
      <c r="CZT50" s="162"/>
      <c r="CZU50" s="162"/>
      <c r="CZV50" s="162"/>
      <c r="CZW50" s="162"/>
      <c r="CZX50" s="162"/>
      <c r="CZY50" s="162"/>
      <c r="CZZ50" s="162"/>
      <c r="DAA50" s="162"/>
      <c r="DAB50" s="162"/>
      <c r="DAC50" s="162"/>
      <c r="DAD50" s="162"/>
      <c r="DAE50" s="162"/>
      <c r="DAF50" s="162"/>
      <c r="DAG50" s="162"/>
      <c r="DAH50" s="162"/>
      <c r="DAI50" s="162"/>
      <c r="DAJ50" s="162"/>
      <c r="DAK50" s="162"/>
      <c r="DAL50" s="162"/>
      <c r="DAM50" s="162"/>
      <c r="DAN50" s="162"/>
      <c r="DAO50" s="162"/>
      <c r="DAP50" s="162"/>
      <c r="DAQ50" s="162"/>
      <c r="DAR50" s="162"/>
      <c r="DAS50" s="162"/>
      <c r="DAT50" s="162"/>
      <c r="DAU50" s="162"/>
      <c r="DAV50" s="162"/>
      <c r="DAW50" s="162"/>
      <c r="DAX50" s="162"/>
      <c r="DAY50" s="162"/>
      <c r="DAZ50" s="162"/>
      <c r="DBA50" s="162"/>
      <c r="DBB50" s="162"/>
      <c r="DBC50" s="162"/>
      <c r="DBD50" s="162"/>
      <c r="DBE50" s="162"/>
      <c r="DBF50" s="162"/>
      <c r="DBG50" s="162"/>
      <c r="DBH50" s="162"/>
      <c r="DBI50" s="162"/>
      <c r="DBJ50" s="162"/>
      <c r="DBK50" s="162"/>
      <c r="DBL50" s="162"/>
      <c r="DBM50" s="162"/>
      <c r="DBN50" s="162"/>
      <c r="DBO50" s="162"/>
      <c r="DBP50" s="162"/>
      <c r="DBQ50" s="162"/>
      <c r="DBR50" s="162"/>
      <c r="DBS50" s="162"/>
      <c r="DBT50" s="162"/>
      <c r="DBU50" s="162"/>
      <c r="DBV50" s="162"/>
      <c r="DBW50" s="162"/>
      <c r="DBX50" s="162"/>
      <c r="DBY50" s="162"/>
      <c r="DBZ50" s="162"/>
      <c r="DCA50" s="162"/>
      <c r="DCB50" s="162"/>
      <c r="DCC50" s="162"/>
      <c r="DCD50" s="162"/>
      <c r="DCE50" s="162"/>
      <c r="DCF50" s="162"/>
      <c r="DCG50" s="162"/>
      <c r="DCH50" s="162"/>
      <c r="DCI50" s="162"/>
      <c r="DCJ50" s="162"/>
      <c r="DCK50" s="162"/>
      <c r="DCL50" s="162"/>
      <c r="DCM50" s="162"/>
      <c r="DCN50" s="162"/>
      <c r="DCO50" s="162"/>
      <c r="DCP50" s="162"/>
      <c r="DCQ50" s="162"/>
      <c r="DCR50" s="162"/>
      <c r="DCS50" s="162"/>
      <c r="DCT50" s="162"/>
      <c r="DCU50" s="162"/>
      <c r="DCV50" s="162"/>
      <c r="DCW50" s="162"/>
      <c r="DCX50" s="162"/>
      <c r="DCY50" s="162"/>
      <c r="DCZ50" s="162"/>
      <c r="DDA50" s="162"/>
      <c r="DDB50" s="162"/>
      <c r="DDC50" s="162"/>
      <c r="DDD50" s="162"/>
      <c r="DDE50" s="162"/>
      <c r="DDF50" s="162"/>
      <c r="DDG50" s="162"/>
      <c r="DDH50" s="162"/>
      <c r="DDI50" s="162"/>
      <c r="DDJ50" s="162"/>
      <c r="DDK50" s="162"/>
      <c r="DDL50" s="162"/>
      <c r="DDM50" s="162"/>
      <c r="DDN50" s="162"/>
      <c r="DDO50" s="162"/>
      <c r="DDP50" s="162"/>
      <c r="DDQ50" s="162"/>
      <c r="DDR50" s="162"/>
      <c r="DDS50" s="162"/>
      <c r="DDT50" s="162"/>
      <c r="DDU50" s="162"/>
      <c r="DDV50" s="162"/>
      <c r="DDW50" s="162"/>
      <c r="DDX50" s="162"/>
      <c r="DDY50" s="162"/>
      <c r="DDZ50" s="162"/>
      <c r="DEA50" s="162"/>
      <c r="DEB50" s="162"/>
      <c r="DEC50" s="162"/>
      <c r="DED50" s="162"/>
      <c r="DEE50" s="162"/>
      <c r="DEF50" s="162"/>
      <c r="DEG50" s="162"/>
      <c r="DEH50" s="162"/>
      <c r="DEI50" s="162"/>
      <c r="DEJ50" s="162"/>
      <c r="DEK50" s="162"/>
      <c r="DEL50" s="162"/>
      <c r="DEM50" s="162"/>
      <c r="DEN50" s="162"/>
      <c r="DEO50" s="162"/>
      <c r="DEP50" s="162"/>
      <c r="DEQ50" s="162"/>
      <c r="DER50" s="162"/>
      <c r="DES50" s="162"/>
      <c r="DET50" s="162"/>
      <c r="DEU50" s="162"/>
      <c r="DEV50" s="162"/>
      <c r="DEW50" s="162"/>
      <c r="DEX50" s="162"/>
      <c r="DEY50" s="162"/>
      <c r="DEZ50" s="162"/>
      <c r="DFA50" s="162"/>
      <c r="DFB50" s="162"/>
      <c r="DFC50" s="162"/>
      <c r="DFD50" s="162"/>
      <c r="DFE50" s="162"/>
      <c r="DFF50" s="162"/>
      <c r="DFG50" s="162"/>
      <c r="DFH50" s="162"/>
      <c r="DFI50" s="162"/>
      <c r="DFJ50" s="162"/>
      <c r="DFK50" s="162"/>
      <c r="DFL50" s="162"/>
      <c r="DFM50" s="162"/>
      <c r="DFN50" s="162"/>
      <c r="DFO50" s="162"/>
      <c r="DFP50" s="162"/>
      <c r="DFQ50" s="162"/>
      <c r="DFR50" s="162"/>
      <c r="DFS50" s="162"/>
      <c r="DFT50" s="162"/>
      <c r="DFU50" s="162"/>
      <c r="DFV50" s="162"/>
      <c r="DFW50" s="162"/>
      <c r="DFX50" s="162"/>
      <c r="DFY50" s="162"/>
      <c r="DFZ50" s="162"/>
      <c r="DGA50" s="162"/>
      <c r="DGB50" s="162"/>
      <c r="DGC50" s="162"/>
      <c r="DGD50" s="162"/>
      <c r="DGE50" s="162"/>
      <c r="DGF50" s="162"/>
      <c r="DGG50" s="162"/>
      <c r="DGH50" s="162"/>
      <c r="DGI50" s="162"/>
      <c r="DGJ50" s="162"/>
      <c r="DGK50" s="162"/>
      <c r="DGL50" s="162"/>
      <c r="DGM50" s="162"/>
      <c r="DGN50" s="162"/>
      <c r="DGO50" s="162"/>
      <c r="DGP50" s="162"/>
      <c r="DGQ50" s="162"/>
      <c r="DGR50" s="162"/>
      <c r="DGS50" s="162"/>
      <c r="DGT50" s="162"/>
      <c r="DGU50" s="162"/>
      <c r="DGV50" s="162"/>
      <c r="DGW50" s="162"/>
      <c r="DGX50" s="162"/>
      <c r="DGY50" s="162"/>
      <c r="DGZ50" s="162"/>
      <c r="DHA50" s="162"/>
      <c r="DHB50" s="162"/>
      <c r="DHC50" s="162"/>
      <c r="DHD50" s="162"/>
      <c r="DHE50" s="162"/>
      <c r="DHF50" s="162"/>
      <c r="DHG50" s="162"/>
      <c r="DHH50" s="162"/>
      <c r="DHI50" s="162"/>
      <c r="DHJ50" s="162"/>
      <c r="DHK50" s="162"/>
      <c r="DHL50" s="162"/>
      <c r="DHM50" s="162"/>
      <c r="DHN50" s="162"/>
      <c r="DHO50" s="162"/>
      <c r="DHP50" s="162"/>
      <c r="DHQ50" s="162"/>
      <c r="DHR50" s="162"/>
      <c r="DHS50" s="162"/>
      <c r="DHT50" s="162"/>
      <c r="DHU50" s="162"/>
      <c r="DHV50" s="162"/>
      <c r="DHW50" s="162"/>
      <c r="DHX50" s="162"/>
      <c r="DHY50" s="162"/>
      <c r="DHZ50" s="162"/>
      <c r="DIA50" s="162"/>
      <c r="DIB50" s="162"/>
      <c r="DIC50" s="162"/>
      <c r="DID50" s="162"/>
      <c r="DIE50" s="162"/>
      <c r="DIF50" s="162"/>
      <c r="DIG50" s="162"/>
      <c r="DIH50" s="162"/>
      <c r="DII50" s="162"/>
      <c r="DIJ50" s="162"/>
      <c r="DIK50" s="162"/>
      <c r="DIL50" s="162"/>
      <c r="DIM50" s="162"/>
      <c r="DIN50" s="162"/>
      <c r="DIO50" s="162"/>
      <c r="DIP50" s="162"/>
      <c r="DIQ50" s="162"/>
      <c r="DIR50" s="162"/>
      <c r="DIS50" s="162"/>
      <c r="DIT50" s="162"/>
      <c r="DIU50" s="162"/>
      <c r="DIV50" s="162"/>
      <c r="DIW50" s="162"/>
      <c r="DIX50" s="162"/>
      <c r="DIY50" s="162"/>
      <c r="DIZ50" s="162"/>
      <c r="DJA50" s="162"/>
      <c r="DJB50" s="162"/>
      <c r="DJC50" s="162"/>
      <c r="DJD50" s="162"/>
      <c r="DJE50" s="162"/>
      <c r="DJF50" s="162"/>
      <c r="DJG50" s="162"/>
      <c r="DJH50" s="162"/>
      <c r="DJI50" s="162"/>
      <c r="DJJ50" s="162"/>
      <c r="DJK50" s="162"/>
      <c r="DJL50" s="162"/>
      <c r="DJM50" s="162"/>
      <c r="DJN50" s="162"/>
      <c r="DJO50" s="162"/>
      <c r="DJP50" s="162"/>
      <c r="DJQ50" s="162"/>
      <c r="DJR50" s="162"/>
      <c r="DJS50" s="162"/>
      <c r="DJT50" s="162"/>
      <c r="DJU50" s="162"/>
      <c r="DJV50" s="162"/>
      <c r="DJW50" s="162"/>
      <c r="DJX50" s="162"/>
      <c r="DJY50" s="162"/>
      <c r="DJZ50" s="162"/>
      <c r="DKA50" s="162"/>
      <c r="DKB50" s="162"/>
      <c r="DKC50" s="162"/>
      <c r="DKD50" s="162"/>
      <c r="DKE50" s="162"/>
      <c r="DKF50" s="162"/>
      <c r="DKG50" s="162"/>
      <c r="DKH50" s="162"/>
      <c r="DKI50" s="162"/>
      <c r="DKJ50" s="162"/>
      <c r="DKK50" s="162"/>
      <c r="DKL50" s="162"/>
      <c r="DKM50" s="162"/>
      <c r="DKN50" s="162"/>
      <c r="DKO50" s="162"/>
      <c r="DKP50" s="162"/>
      <c r="DKQ50" s="162"/>
      <c r="DKR50" s="162"/>
      <c r="DKS50" s="162"/>
      <c r="DKT50" s="162"/>
      <c r="DKU50" s="162"/>
      <c r="DKV50" s="162"/>
      <c r="DKW50" s="162"/>
      <c r="DKX50" s="162"/>
      <c r="DKY50" s="162"/>
      <c r="DKZ50" s="162"/>
      <c r="DLA50" s="162"/>
      <c r="DLB50" s="162"/>
      <c r="DLC50" s="162"/>
      <c r="DLD50" s="162"/>
      <c r="DLE50" s="162"/>
      <c r="DLF50" s="162"/>
      <c r="DLG50" s="162"/>
      <c r="DLH50" s="162"/>
      <c r="DLI50" s="162"/>
      <c r="DLJ50" s="162"/>
      <c r="DLK50" s="162"/>
      <c r="DLL50" s="162"/>
      <c r="DLM50" s="162"/>
      <c r="DLN50" s="162"/>
      <c r="DLO50" s="162"/>
      <c r="DLP50" s="162"/>
      <c r="DLQ50" s="162"/>
      <c r="DLR50" s="162"/>
      <c r="DLS50" s="162"/>
      <c r="DLT50" s="162"/>
      <c r="DLU50" s="162"/>
      <c r="DLV50" s="162"/>
      <c r="DLW50" s="162"/>
      <c r="DLX50" s="162"/>
      <c r="DLY50" s="162"/>
      <c r="DLZ50" s="162"/>
      <c r="DMA50" s="162"/>
      <c r="DMB50" s="162"/>
      <c r="DMC50" s="162"/>
      <c r="DMD50" s="162"/>
      <c r="DME50" s="162"/>
      <c r="DMF50" s="162"/>
      <c r="DMG50" s="162"/>
      <c r="DMH50" s="162"/>
      <c r="DMI50" s="162"/>
      <c r="DMJ50" s="162"/>
      <c r="DMK50" s="162"/>
      <c r="DML50" s="162"/>
      <c r="DMM50" s="162"/>
      <c r="DMN50" s="162"/>
      <c r="DMO50" s="162"/>
      <c r="DMP50" s="162"/>
      <c r="DMQ50" s="162"/>
      <c r="DMR50" s="162"/>
      <c r="DMS50" s="162"/>
      <c r="DMT50" s="162"/>
      <c r="DMU50" s="162"/>
      <c r="DMV50" s="162"/>
      <c r="DMW50" s="162"/>
      <c r="DMX50" s="162"/>
      <c r="DMY50" s="162"/>
      <c r="DMZ50" s="162"/>
      <c r="DNA50" s="162"/>
      <c r="DNB50" s="162"/>
      <c r="DNC50" s="162"/>
      <c r="DND50" s="162"/>
      <c r="DNE50" s="162"/>
      <c r="DNF50" s="162"/>
      <c r="DNG50" s="162"/>
      <c r="DNH50" s="162"/>
      <c r="DNI50" s="162"/>
      <c r="DNJ50" s="162"/>
      <c r="DNK50" s="162"/>
      <c r="DNL50" s="162"/>
      <c r="DNM50" s="162"/>
      <c r="DNN50" s="162"/>
      <c r="DNO50" s="162"/>
      <c r="DNP50" s="162"/>
      <c r="DNQ50" s="162"/>
      <c r="DNR50" s="162"/>
      <c r="DNS50" s="162"/>
      <c r="DNT50" s="162"/>
      <c r="DNU50" s="162"/>
      <c r="DNV50" s="162"/>
      <c r="DNW50" s="162"/>
      <c r="DNX50" s="162"/>
      <c r="DNY50" s="162"/>
      <c r="DNZ50" s="162"/>
      <c r="DOA50" s="162"/>
      <c r="DOB50" s="162"/>
      <c r="DOC50" s="162"/>
      <c r="DOD50" s="162"/>
      <c r="DOE50" s="162"/>
      <c r="DOF50" s="162"/>
      <c r="DOG50" s="162"/>
      <c r="DOH50" s="162"/>
      <c r="DOI50" s="162"/>
      <c r="DOJ50" s="162"/>
      <c r="DOK50" s="162"/>
      <c r="DOL50" s="162"/>
      <c r="DOM50" s="162"/>
      <c r="DON50" s="162"/>
      <c r="DOO50" s="162"/>
      <c r="DOP50" s="162"/>
      <c r="DOQ50" s="162"/>
      <c r="DOR50" s="162"/>
      <c r="DOS50" s="162"/>
      <c r="DOT50" s="162"/>
      <c r="DOU50" s="162"/>
      <c r="DOV50" s="162"/>
      <c r="DOW50" s="162"/>
      <c r="DOX50" s="162"/>
      <c r="DOY50" s="162"/>
      <c r="DOZ50" s="162"/>
      <c r="DPA50" s="162"/>
      <c r="DPB50" s="162"/>
      <c r="DPC50" s="162"/>
      <c r="DPD50" s="162"/>
      <c r="DPE50" s="162"/>
      <c r="DPF50" s="162"/>
      <c r="DPG50" s="162"/>
      <c r="DPH50" s="162"/>
      <c r="DPI50" s="162"/>
      <c r="DPJ50" s="162"/>
      <c r="DPK50" s="162"/>
      <c r="DPL50" s="162"/>
      <c r="DPM50" s="162"/>
      <c r="DPN50" s="162"/>
      <c r="DPO50" s="162"/>
      <c r="DPP50" s="162"/>
      <c r="DPQ50" s="162"/>
      <c r="DPR50" s="162"/>
      <c r="DPS50" s="162"/>
      <c r="DPT50" s="162"/>
      <c r="DPU50" s="162"/>
      <c r="DPV50" s="162"/>
      <c r="DPW50" s="162"/>
      <c r="DPX50" s="162"/>
      <c r="DPY50" s="162"/>
      <c r="DPZ50" s="162"/>
      <c r="DQA50" s="162"/>
      <c r="DQB50" s="162"/>
      <c r="DQC50" s="162"/>
      <c r="DQD50" s="162"/>
      <c r="DQE50" s="162"/>
      <c r="DQF50" s="162"/>
      <c r="DQG50" s="162"/>
      <c r="DQH50" s="162"/>
      <c r="DQI50" s="162"/>
      <c r="DQJ50" s="162"/>
      <c r="DQK50" s="162"/>
      <c r="DQL50" s="162"/>
      <c r="DQM50" s="162"/>
      <c r="DQN50" s="162"/>
      <c r="DQO50" s="162"/>
      <c r="DQP50" s="162"/>
      <c r="DQQ50" s="162"/>
      <c r="DQR50" s="162"/>
      <c r="DQS50" s="162"/>
      <c r="DQT50" s="162"/>
      <c r="DQU50" s="162"/>
      <c r="DQV50" s="162"/>
      <c r="DQW50" s="162"/>
      <c r="DQX50" s="162"/>
      <c r="DQY50" s="162"/>
      <c r="DQZ50" s="162"/>
      <c r="DRA50" s="162"/>
      <c r="DRB50" s="162"/>
      <c r="DRC50" s="162"/>
      <c r="DRD50" s="162"/>
      <c r="DRE50" s="162"/>
      <c r="DRF50" s="162"/>
      <c r="DRG50" s="162"/>
      <c r="DRH50" s="162"/>
      <c r="DRI50" s="162"/>
      <c r="DRJ50" s="162"/>
      <c r="DRK50" s="162"/>
      <c r="DRL50" s="162"/>
      <c r="DRM50" s="162"/>
      <c r="DRN50" s="162"/>
      <c r="DRO50" s="162"/>
      <c r="DRP50" s="162"/>
      <c r="DRQ50" s="162"/>
      <c r="DRR50" s="162"/>
      <c r="DRS50" s="162"/>
      <c r="DRT50" s="162"/>
      <c r="DRU50" s="162"/>
      <c r="DRV50" s="162"/>
      <c r="DRW50" s="162"/>
      <c r="DRX50" s="162"/>
      <c r="DRY50" s="162"/>
      <c r="DRZ50" s="162"/>
      <c r="DSA50" s="162"/>
      <c r="DSB50" s="162"/>
      <c r="DSC50" s="162"/>
      <c r="DSD50" s="162"/>
      <c r="DSE50" s="162"/>
      <c r="DSF50" s="162"/>
      <c r="DSG50" s="162"/>
      <c r="DSH50" s="162"/>
      <c r="DSI50" s="162"/>
      <c r="DSJ50" s="162"/>
      <c r="DSK50" s="162"/>
      <c r="DSL50" s="162"/>
      <c r="DSM50" s="162"/>
      <c r="DSN50" s="162"/>
      <c r="DSO50" s="162"/>
      <c r="DSP50" s="162"/>
      <c r="DSQ50" s="162"/>
      <c r="DSR50" s="162"/>
      <c r="DSS50" s="162"/>
      <c r="DST50" s="162"/>
      <c r="DSU50" s="162"/>
      <c r="DSV50" s="162"/>
      <c r="DSW50" s="162"/>
      <c r="DSX50" s="162"/>
      <c r="DSY50" s="162"/>
      <c r="DSZ50" s="162"/>
      <c r="DTA50" s="162"/>
      <c r="DTB50" s="162"/>
      <c r="DTC50" s="162"/>
      <c r="DTD50" s="162"/>
      <c r="DTE50" s="162"/>
      <c r="DTF50" s="162"/>
      <c r="DTG50" s="162"/>
      <c r="DTH50" s="162"/>
      <c r="DTI50" s="162"/>
      <c r="DTJ50" s="162"/>
      <c r="DTK50" s="162"/>
      <c r="DTL50" s="162"/>
      <c r="DTM50" s="162"/>
      <c r="DTN50" s="162"/>
      <c r="DTO50" s="162"/>
      <c r="DTP50" s="162"/>
      <c r="DTQ50" s="162"/>
      <c r="DTR50" s="162"/>
      <c r="DTS50" s="162"/>
      <c r="DTT50" s="162"/>
      <c r="DTU50" s="162"/>
      <c r="DTV50" s="162"/>
      <c r="DTW50" s="162"/>
      <c r="DTX50" s="162"/>
      <c r="DTY50" s="162"/>
      <c r="DTZ50" s="162"/>
      <c r="DUA50" s="162"/>
      <c r="DUB50" s="162"/>
      <c r="DUC50" s="162"/>
      <c r="DUD50" s="162"/>
      <c r="DUE50" s="162"/>
      <c r="DUF50" s="162"/>
      <c r="DUG50" s="162"/>
      <c r="DUH50" s="162"/>
      <c r="DUI50" s="162"/>
      <c r="DUJ50" s="162"/>
      <c r="DUK50" s="162"/>
      <c r="DUL50" s="162"/>
      <c r="DUM50" s="162"/>
      <c r="DUN50" s="162"/>
      <c r="DUO50" s="162"/>
      <c r="DUP50" s="162"/>
      <c r="DUQ50" s="162"/>
      <c r="DUR50" s="162"/>
      <c r="DUS50" s="162"/>
      <c r="DUT50" s="162"/>
      <c r="DUU50" s="162"/>
      <c r="DUV50" s="162"/>
      <c r="DUW50" s="162"/>
      <c r="DUX50" s="162"/>
      <c r="DUY50" s="162"/>
      <c r="DUZ50" s="162"/>
      <c r="DVA50" s="162"/>
      <c r="DVB50" s="162"/>
      <c r="DVC50" s="162"/>
      <c r="DVD50" s="162"/>
      <c r="DVE50" s="162"/>
      <c r="DVF50" s="162"/>
      <c r="DVG50" s="162"/>
      <c r="DVH50" s="162"/>
      <c r="DVI50" s="162"/>
      <c r="DVJ50" s="162"/>
      <c r="DVK50" s="162"/>
      <c r="DVL50" s="162"/>
      <c r="DVM50" s="162"/>
      <c r="DVN50" s="162"/>
      <c r="DVO50" s="162"/>
      <c r="DVP50" s="162"/>
      <c r="DVQ50" s="162"/>
      <c r="DVR50" s="162"/>
      <c r="DVS50" s="162"/>
      <c r="DVT50" s="162"/>
      <c r="DVU50" s="162"/>
      <c r="DVV50" s="162"/>
      <c r="DVW50" s="162"/>
      <c r="DVX50" s="162"/>
      <c r="DVY50" s="162"/>
      <c r="DVZ50" s="162"/>
      <c r="DWA50" s="162"/>
      <c r="DWB50" s="162"/>
      <c r="DWC50" s="162"/>
      <c r="DWD50" s="162"/>
      <c r="DWE50" s="162"/>
      <c r="DWF50" s="162"/>
      <c r="DWG50" s="162"/>
      <c r="DWH50" s="162"/>
      <c r="DWI50" s="162"/>
      <c r="DWJ50" s="162"/>
      <c r="DWK50" s="162"/>
      <c r="DWL50" s="162"/>
      <c r="DWM50" s="162"/>
      <c r="DWN50" s="162"/>
      <c r="DWO50" s="162"/>
      <c r="DWP50" s="162"/>
      <c r="DWQ50" s="162"/>
      <c r="DWR50" s="162"/>
      <c r="DWS50" s="162"/>
      <c r="DWT50" s="162"/>
      <c r="DWU50" s="162"/>
      <c r="DWV50" s="162"/>
      <c r="DWW50" s="162"/>
      <c r="DWX50" s="162"/>
      <c r="DWY50" s="162"/>
      <c r="DWZ50" s="162"/>
      <c r="DXA50" s="162"/>
      <c r="DXB50" s="162"/>
      <c r="DXC50" s="162"/>
      <c r="DXD50" s="162"/>
      <c r="DXE50" s="162"/>
      <c r="DXF50" s="162"/>
      <c r="DXG50" s="162"/>
      <c r="DXH50" s="162"/>
      <c r="DXI50" s="162"/>
      <c r="DXJ50" s="162"/>
      <c r="DXK50" s="162"/>
      <c r="DXL50" s="162"/>
      <c r="DXM50" s="162"/>
      <c r="DXN50" s="162"/>
      <c r="DXO50" s="162"/>
      <c r="DXP50" s="162"/>
      <c r="DXQ50" s="162"/>
      <c r="DXR50" s="162"/>
      <c r="DXS50" s="162"/>
      <c r="DXT50" s="162"/>
      <c r="DXU50" s="162"/>
      <c r="DXV50" s="162"/>
      <c r="DXW50" s="162"/>
      <c r="DXX50" s="162"/>
      <c r="DXY50" s="162"/>
      <c r="DXZ50" s="162"/>
      <c r="DYA50" s="162"/>
      <c r="DYB50" s="162"/>
      <c r="DYC50" s="162"/>
      <c r="DYD50" s="162"/>
      <c r="DYE50" s="162"/>
      <c r="DYF50" s="162"/>
      <c r="DYG50" s="162"/>
      <c r="DYH50" s="162"/>
      <c r="DYI50" s="162"/>
      <c r="DYJ50" s="162"/>
      <c r="DYK50" s="162"/>
      <c r="DYL50" s="162"/>
      <c r="DYM50" s="162"/>
      <c r="DYN50" s="162"/>
      <c r="DYO50" s="162"/>
      <c r="DYP50" s="162"/>
      <c r="DYQ50" s="162"/>
      <c r="DYR50" s="162"/>
      <c r="DYS50" s="162"/>
      <c r="DYT50" s="162"/>
      <c r="DYU50" s="162"/>
      <c r="DYV50" s="162"/>
      <c r="DYW50" s="162"/>
      <c r="DYX50" s="162"/>
      <c r="DYY50" s="162"/>
      <c r="DYZ50" s="162"/>
      <c r="DZA50" s="162"/>
      <c r="DZB50" s="162"/>
      <c r="DZC50" s="162"/>
      <c r="DZD50" s="162"/>
      <c r="DZE50" s="162"/>
      <c r="DZF50" s="162"/>
      <c r="DZG50" s="162"/>
      <c r="DZH50" s="162"/>
      <c r="DZI50" s="162"/>
      <c r="DZJ50" s="162"/>
      <c r="DZK50" s="162"/>
      <c r="DZL50" s="162"/>
      <c r="DZM50" s="162"/>
      <c r="DZN50" s="162"/>
      <c r="DZO50" s="162"/>
      <c r="DZP50" s="162"/>
      <c r="DZQ50" s="162"/>
      <c r="DZR50" s="162"/>
      <c r="DZS50" s="162"/>
      <c r="DZT50" s="162"/>
      <c r="DZU50" s="162"/>
      <c r="DZV50" s="162"/>
      <c r="DZW50" s="162"/>
      <c r="DZX50" s="162"/>
      <c r="DZY50" s="162"/>
      <c r="DZZ50" s="162"/>
      <c r="EAA50" s="162"/>
      <c r="EAB50" s="162"/>
      <c r="EAC50" s="162"/>
      <c r="EAD50" s="162"/>
      <c r="EAE50" s="162"/>
      <c r="EAF50" s="162"/>
      <c r="EAG50" s="162"/>
      <c r="EAH50" s="162"/>
      <c r="EAI50" s="162"/>
      <c r="EAJ50" s="162"/>
      <c r="EAK50" s="162"/>
      <c r="EAL50" s="162"/>
      <c r="EAM50" s="162"/>
      <c r="EAN50" s="162"/>
      <c r="EAO50" s="162"/>
      <c r="EAP50" s="162"/>
      <c r="EAQ50" s="162"/>
      <c r="EAR50" s="162"/>
      <c r="EAS50" s="162"/>
      <c r="EAT50" s="162"/>
      <c r="EAU50" s="162"/>
      <c r="EAV50" s="162"/>
      <c r="EAW50" s="162"/>
      <c r="EAX50" s="162"/>
      <c r="EAY50" s="162"/>
      <c r="EAZ50" s="162"/>
      <c r="EBA50" s="162"/>
      <c r="EBB50" s="162"/>
      <c r="EBC50" s="162"/>
      <c r="EBD50" s="162"/>
      <c r="EBE50" s="162"/>
      <c r="EBF50" s="162"/>
      <c r="EBG50" s="162"/>
      <c r="EBH50" s="162"/>
      <c r="EBI50" s="162"/>
      <c r="EBJ50" s="162"/>
      <c r="EBK50" s="162"/>
      <c r="EBL50" s="162"/>
      <c r="EBM50" s="162"/>
      <c r="EBN50" s="162"/>
      <c r="EBO50" s="162"/>
      <c r="EBP50" s="162"/>
      <c r="EBQ50" s="162"/>
      <c r="EBR50" s="162"/>
      <c r="EBS50" s="162"/>
      <c r="EBT50" s="162"/>
      <c r="EBU50" s="162"/>
      <c r="EBV50" s="162"/>
      <c r="EBW50" s="162"/>
      <c r="EBX50" s="162"/>
      <c r="EBY50" s="162"/>
      <c r="EBZ50" s="162"/>
      <c r="ECA50" s="162"/>
      <c r="ECB50" s="162"/>
      <c r="ECC50" s="162"/>
      <c r="ECD50" s="162"/>
      <c r="ECE50" s="162"/>
      <c r="ECF50" s="162"/>
      <c r="ECG50" s="162"/>
      <c r="ECH50" s="162"/>
      <c r="ECI50" s="162"/>
      <c r="ECJ50" s="162"/>
      <c r="ECK50" s="162"/>
      <c r="ECL50" s="162"/>
      <c r="ECM50" s="162"/>
      <c r="ECN50" s="162"/>
      <c r="ECO50" s="162"/>
      <c r="ECP50" s="162"/>
      <c r="ECQ50" s="162"/>
      <c r="ECR50" s="162"/>
      <c r="ECS50" s="162"/>
      <c r="ECT50" s="162"/>
      <c r="ECU50" s="162"/>
      <c r="ECV50" s="162"/>
      <c r="ECW50" s="162"/>
      <c r="ECX50" s="162"/>
      <c r="ECY50" s="162"/>
      <c r="ECZ50" s="162"/>
      <c r="EDA50" s="162"/>
      <c r="EDB50" s="162"/>
      <c r="EDC50" s="162"/>
      <c r="EDD50" s="162"/>
      <c r="EDE50" s="162"/>
      <c r="EDF50" s="162"/>
      <c r="EDG50" s="162"/>
      <c r="EDH50" s="162"/>
      <c r="EDI50" s="162"/>
      <c r="EDJ50" s="162"/>
      <c r="EDK50" s="162"/>
      <c r="EDL50" s="162"/>
      <c r="EDM50" s="162"/>
      <c r="EDN50" s="162"/>
      <c r="EDO50" s="162"/>
      <c r="EDP50" s="162"/>
      <c r="EDQ50" s="162"/>
      <c r="EDR50" s="162"/>
      <c r="EDS50" s="162"/>
      <c r="EDT50" s="162"/>
      <c r="EDU50" s="162"/>
      <c r="EDV50" s="162"/>
      <c r="EDW50" s="162"/>
      <c r="EDX50" s="162"/>
      <c r="EDY50" s="162"/>
      <c r="EDZ50" s="162"/>
      <c r="EEA50" s="162"/>
      <c r="EEB50" s="162"/>
      <c r="EEC50" s="162"/>
      <c r="EED50" s="162"/>
      <c r="EEE50" s="162"/>
      <c r="EEF50" s="162"/>
      <c r="EEG50" s="162"/>
      <c r="EEH50" s="162"/>
      <c r="EEI50" s="162"/>
      <c r="EEJ50" s="162"/>
      <c r="EEK50" s="162"/>
      <c r="EEL50" s="162"/>
      <c r="EEM50" s="162"/>
      <c r="EEN50" s="162"/>
      <c r="EEO50" s="162"/>
      <c r="EEP50" s="162"/>
      <c r="EEQ50" s="162"/>
      <c r="EER50" s="162"/>
      <c r="EES50" s="162"/>
      <c r="EET50" s="162"/>
      <c r="EEU50" s="162"/>
      <c r="EEV50" s="162"/>
      <c r="EEW50" s="162"/>
      <c r="EEX50" s="162"/>
      <c r="EEY50" s="162"/>
      <c r="EEZ50" s="162"/>
      <c r="EFA50" s="162"/>
      <c r="EFB50" s="162"/>
      <c r="EFC50" s="162"/>
      <c r="EFD50" s="162"/>
      <c r="EFE50" s="162"/>
      <c r="EFF50" s="162"/>
      <c r="EFG50" s="162"/>
      <c r="EFH50" s="162"/>
      <c r="EFI50" s="162"/>
      <c r="EFJ50" s="162"/>
      <c r="EFK50" s="162"/>
      <c r="EFL50" s="162"/>
      <c r="EFM50" s="162"/>
      <c r="EFN50" s="162"/>
      <c r="EFO50" s="162"/>
      <c r="EFP50" s="162"/>
      <c r="EFQ50" s="162"/>
      <c r="EFR50" s="162"/>
      <c r="EFS50" s="162"/>
      <c r="EFT50" s="162"/>
      <c r="EFU50" s="162"/>
      <c r="EFV50" s="162"/>
      <c r="EFW50" s="162"/>
      <c r="EFX50" s="162"/>
      <c r="EFY50" s="162"/>
      <c r="EFZ50" s="162"/>
      <c r="EGA50" s="162"/>
      <c r="EGB50" s="162"/>
      <c r="EGC50" s="162"/>
      <c r="EGD50" s="162"/>
      <c r="EGE50" s="162"/>
      <c r="EGF50" s="162"/>
      <c r="EGG50" s="162"/>
      <c r="EGH50" s="162"/>
      <c r="EGI50" s="162"/>
      <c r="EGJ50" s="162"/>
      <c r="EGK50" s="162"/>
      <c r="EGL50" s="162"/>
      <c r="EGM50" s="162"/>
      <c r="EGN50" s="162"/>
      <c r="EGO50" s="162"/>
      <c r="EGP50" s="162"/>
      <c r="EGQ50" s="162"/>
      <c r="EGR50" s="162"/>
      <c r="EGS50" s="162"/>
      <c r="EGT50" s="162"/>
      <c r="EGU50" s="162"/>
      <c r="EGV50" s="162"/>
      <c r="EGW50" s="162"/>
      <c r="EGX50" s="162"/>
      <c r="EGY50" s="162"/>
      <c r="EGZ50" s="162"/>
      <c r="EHA50" s="162"/>
      <c r="EHB50" s="162"/>
      <c r="EHC50" s="162"/>
      <c r="EHD50" s="162"/>
      <c r="EHE50" s="162"/>
      <c r="EHF50" s="162"/>
      <c r="EHG50" s="162"/>
      <c r="EHH50" s="162"/>
      <c r="EHI50" s="162"/>
      <c r="EHJ50" s="162"/>
      <c r="EHK50" s="162"/>
      <c r="EHL50" s="162"/>
      <c r="EHM50" s="162"/>
      <c r="EHN50" s="162"/>
      <c r="EHO50" s="162"/>
      <c r="EHP50" s="162"/>
      <c r="EHQ50" s="162"/>
      <c r="EHR50" s="162"/>
      <c r="EHS50" s="162"/>
      <c r="EHT50" s="162"/>
      <c r="EHU50" s="162"/>
      <c r="EHV50" s="162"/>
      <c r="EHW50" s="162"/>
      <c r="EHX50" s="162"/>
      <c r="EHY50" s="162"/>
      <c r="EHZ50" s="162"/>
      <c r="EIA50" s="162"/>
      <c r="EIB50" s="162"/>
      <c r="EIC50" s="162"/>
      <c r="EID50" s="162"/>
      <c r="EIE50" s="162"/>
      <c r="EIF50" s="162"/>
      <c r="EIG50" s="162"/>
      <c r="EIH50" s="162"/>
      <c r="EII50" s="162"/>
      <c r="EIJ50" s="162"/>
      <c r="EIK50" s="162"/>
      <c r="EIL50" s="162"/>
      <c r="EIM50" s="162"/>
      <c r="EIN50" s="162"/>
      <c r="EIO50" s="162"/>
      <c r="EIP50" s="162"/>
      <c r="EIQ50" s="162"/>
      <c r="EIR50" s="162"/>
      <c r="EIS50" s="162"/>
      <c r="EIT50" s="162"/>
      <c r="EIU50" s="162"/>
      <c r="EIV50" s="162"/>
      <c r="EIW50" s="162"/>
      <c r="EIX50" s="162"/>
      <c r="EIY50" s="162"/>
      <c r="EIZ50" s="162"/>
      <c r="EJA50" s="162"/>
      <c r="EJB50" s="162"/>
      <c r="EJC50" s="162"/>
      <c r="EJD50" s="162"/>
      <c r="EJE50" s="162"/>
      <c r="EJF50" s="162"/>
      <c r="EJG50" s="162"/>
      <c r="EJH50" s="162"/>
      <c r="EJI50" s="162"/>
      <c r="EJJ50" s="162"/>
      <c r="EJK50" s="162"/>
      <c r="EJL50" s="162"/>
      <c r="EJM50" s="162"/>
      <c r="EJN50" s="162"/>
      <c r="EJO50" s="162"/>
      <c r="EJP50" s="162"/>
      <c r="EJQ50" s="162"/>
      <c r="EJR50" s="162"/>
      <c r="EJS50" s="162"/>
      <c r="EJT50" s="162"/>
      <c r="EJU50" s="162"/>
      <c r="EJV50" s="162"/>
      <c r="EJW50" s="162"/>
      <c r="EJX50" s="162"/>
      <c r="EJY50" s="162"/>
      <c r="EJZ50" s="162"/>
      <c r="EKA50" s="162"/>
      <c r="EKB50" s="162"/>
      <c r="EKC50" s="162"/>
      <c r="EKD50" s="162"/>
      <c r="EKE50" s="162"/>
      <c r="EKF50" s="162"/>
      <c r="EKG50" s="162"/>
      <c r="EKH50" s="162"/>
      <c r="EKI50" s="162"/>
      <c r="EKJ50" s="162"/>
      <c r="EKK50" s="162"/>
      <c r="EKL50" s="162"/>
      <c r="EKM50" s="162"/>
      <c r="EKN50" s="162"/>
      <c r="EKO50" s="162"/>
      <c r="EKP50" s="162"/>
      <c r="EKQ50" s="162"/>
      <c r="EKR50" s="162"/>
      <c r="EKS50" s="162"/>
      <c r="EKT50" s="162"/>
      <c r="EKU50" s="162"/>
      <c r="EKV50" s="162"/>
      <c r="EKW50" s="162"/>
      <c r="EKX50" s="162"/>
      <c r="EKY50" s="162"/>
      <c r="EKZ50" s="162"/>
      <c r="ELA50" s="162"/>
      <c r="ELB50" s="162"/>
      <c r="ELC50" s="162"/>
      <c r="ELD50" s="162"/>
      <c r="ELE50" s="162"/>
      <c r="ELF50" s="162"/>
      <c r="ELG50" s="162"/>
      <c r="ELH50" s="162"/>
      <c r="ELI50" s="162"/>
      <c r="ELJ50" s="162"/>
      <c r="ELK50" s="162"/>
      <c r="ELL50" s="162"/>
      <c r="ELM50" s="162"/>
      <c r="ELN50" s="162"/>
      <c r="ELO50" s="162"/>
      <c r="ELP50" s="162"/>
      <c r="ELQ50" s="162"/>
      <c r="ELR50" s="162"/>
      <c r="ELS50" s="162"/>
      <c r="ELT50" s="162"/>
      <c r="ELU50" s="162"/>
      <c r="ELV50" s="162"/>
      <c r="ELW50" s="162"/>
      <c r="ELX50" s="162"/>
      <c r="ELY50" s="162"/>
      <c r="ELZ50" s="162"/>
      <c r="EMA50" s="162"/>
      <c r="EMB50" s="162"/>
      <c r="EMC50" s="162"/>
      <c r="EMD50" s="162"/>
      <c r="EME50" s="162"/>
      <c r="EMF50" s="162"/>
      <c r="EMG50" s="162"/>
      <c r="EMH50" s="162"/>
      <c r="EMI50" s="162"/>
      <c r="EMJ50" s="162"/>
      <c r="EMK50" s="162"/>
      <c r="EML50" s="162"/>
      <c r="EMM50" s="162"/>
      <c r="EMN50" s="162"/>
      <c r="EMO50" s="162"/>
      <c r="EMP50" s="162"/>
      <c r="EMQ50" s="162"/>
      <c r="EMR50" s="162"/>
      <c r="EMS50" s="162"/>
      <c r="EMT50" s="162"/>
      <c r="EMU50" s="162"/>
      <c r="EMV50" s="162"/>
      <c r="EMW50" s="162"/>
      <c r="EMX50" s="162"/>
      <c r="EMY50" s="162"/>
      <c r="EMZ50" s="162"/>
      <c r="ENA50" s="162"/>
      <c r="ENB50" s="162"/>
      <c r="ENC50" s="162"/>
      <c r="END50" s="162"/>
      <c r="ENE50" s="162"/>
      <c r="ENF50" s="162"/>
      <c r="ENG50" s="162"/>
      <c r="ENH50" s="162"/>
      <c r="ENI50" s="162"/>
      <c r="ENJ50" s="162"/>
      <c r="ENK50" s="162"/>
      <c r="ENL50" s="162"/>
      <c r="ENM50" s="162"/>
      <c r="ENN50" s="162"/>
      <c r="ENO50" s="162"/>
      <c r="ENP50" s="162"/>
      <c r="ENQ50" s="162"/>
      <c r="ENR50" s="162"/>
      <c r="ENS50" s="162"/>
      <c r="ENT50" s="162"/>
      <c r="ENU50" s="162"/>
      <c r="ENV50" s="162"/>
      <c r="ENW50" s="162"/>
      <c r="ENX50" s="162"/>
      <c r="ENY50" s="162"/>
      <c r="ENZ50" s="162"/>
      <c r="EOA50" s="162"/>
      <c r="EOB50" s="162"/>
      <c r="EOC50" s="162"/>
      <c r="EOD50" s="162"/>
      <c r="EOE50" s="162"/>
      <c r="EOF50" s="162"/>
      <c r="EOG50" s="162"/>
      <c r="EOH50" s="162"/>
      <c r="EOI50" s="162"/>
      <c r="EOJ50" s="162"/>
      <c r="EOK50" s="162"/>
      <c r="EOL50" s="162"/>
      <c r="EOM50" s="162"/>
      <c r="EON50" s="162"/>
      <c r="EOO50" s="162"/>
      <c r="EOP50" s="162"/>
      <c r="EOQ50" s="162"/>
      <c r="EOR50" s="162"/>
      <c r="EOS50" s="162"/>
      <c r="EOT50" s="162"/>
      <c r="EOU50" s="162"/>
      <c r="EOV50" s="162"/>
      <c r="EOW50" s="162"/>
      <c r="EOX50" s="162"/>
      <c r="EOY50" s="162"/>
      <c r="EOZ50" s="162"/>
      <c r="EPA50" s="162"/>
      <c r="EPB50" s="162"/>
      <c r="EPC50" s="162"/>
      <c r="EPD50" s="162"/>
      <c r="EPE50" s="162"/>
      <c r="EPF50" s="162"/>
      <c r="EPG50" s="162"/>
      <c r="EPH50" s="162"/>
      <c r="EPI50" s="162"/>
      <c r="EPJ50" s="162"/>
      <c r="EPK50" s="162"/>
      <c r="EPL50" s="162"/>
      <c r="EPM50" s="162"/>
      <c r="EPN50" s="162"/>
      <c r="EPO50" s="162"/>
      <c r="EPP50" s="162"/>
      <c r="EPQ50" s="162"/>
      <c r="EPR50" s="162"/>
      <c r="EPS50" s="162"/>
      <c r="EPT50" s="162"/>
      <c r="EPU50" s="162"/>
      <c r="EPV50" s="162"/>
      <c r="EPW50" s="162"/>
      <c r="EPX50" s="162"/>
      <c r="EPY50" s="162"/>
      <c r="EPZ50" s="162"/>
      <c r="EQA50" s="162"/>
      <c r="EQB50" s="162"/>
      <c r="EQC50" s="162"/>
      <c r="EQD50" s="162"/>
      <c r="EQE50" s="162"/>
      <c r="EQF50" s="162"/>
      <c r="EQG50" s="162"/>
      <c r="EQH50" s="162"/>
      <c r="EQI50" s="162"/>
      <c r="EQJ50" s="162"/>
      <c r="EQK50" s="162"/>
      <c r="EQL50" s="162"/>
      <c r="EQM50" s="162"/>
      <c r="EQN50" s="162"/>
      <c r="EQO50" s="162"/>
      <c r="EQP50" s="162"/>
      <c r="EQQ50" s="162"/>
      <c r="EQR50" s="162"/>
      <c r="EQS50" s="162"/>
      <c r="EQT50" s="162"/>
      <c r="EQU50" s="162"/>
      <c r="EQV50" s="162"/>
      <c r="EQW50" s="162"/>
      <c r="EQX50" s="162"/>
      <c r="EQY50" s="162"/>
      <c r="EQZ50" s="162"/>
      <c r="ERA50" s="162"/>
      <c r="ERB50" s="162"/>
      <c r="ERC50" s="162"/>
      <c r="ERD50" s="162"/>
      <c r="ERE50" s="162"/>
      <c r="ERF50" s="162"/>
      <c r="ERG50" s="162"/>
      <c r="ERH50" s="162"/>
      <c r="ERI50" s="162"/>
      <c r="ERJ50" s="162"/>
      <c r="ERK50" s="162"/>
      <c r="ERL50" s="162"/>
      <c r="ERM50" s="162"/>
      <c r="ERN50" s="162"/>
      <c r="ERO50" s="162"/>
      <c r="ERP50" s="162"/>
      <c r="ERQ50" s="162"/>
      <c r="ERR50" s="162"/>
      <c r="ERS50" s="162"/>
      <c r="ERT50" s="162"/>
      <c r="ERU50" s="162"/>
      <c r="ERV50" s="162"/>
      <c r="ERW50" s="162"/>
      <c r="ERX50" s="162"/>
      <c r="ERY50" s="162"/>
      <c r="ERZ50" s="162"/>
      <c r="ESA50" s="162"/>
      <c r="ESB50" s="162"/>
      <c r="ESC50" s="162"/>
      <c r="ESD50" s="162"/>
      <c r="ESE50" s="162"/>
      <c r="ESF50" s="162"/>
      <c r="ESG50" s="162"/>
      <c r="ESH50" s="162"/>
      <c r="ESI50" s="162"/>
      <c r="ESJ50" s="162"/>
      <c r="ESK50" s="162"/>
      <c r="ESL50" s="162"/>
      <c r="ESM50" s="162"/>
      <c r="ESN50" s="162"/>
      <c r="ESO50" s="162"/>
      <c r="ESP50" s="162"/>
      <c r="ESQ50" s="162"/>
      <c r="ESR50" s="162"/>
      <c r="ESS50" s="162"/>
      <c r="EST50" s="162"/>
      <c r="ESU50" s="162"/>
      <c r="ESV50" s="162"/>
      <c r="ESW50" s="162"/>
      <c r="ESX50" s="162"/>
      <c r="ESY50" s="162"/>
      <c r="ESZ50" s="162"/>
      <c r="ETA50" s="162"/>
      <c r="ETB50" s="162"/>
      <c r="ETC50" s="162"/>
      <c r="ETD50" s="162"/>
      <c r="ETE50" s="162"/>
      <c r="ETF50" s="162"/>
      <c r="ETG50" s="162"/>
      <c r="ETH50" s="162"/>
      <c r="ETI50" s="162"/>
      <c r="ETJ50" s="162"/>
      <c r="ETK50" s="162"/>
      <c r="ETL50" s="162"/>
      <c r="ETM50" s="162"/>
      <c r="ETN50" s="162"/>
      <c r="ETO50" s="162"/>
      <c r="ETP50" s="162"/>
      <c r="ETQ50" s="162"/>
      <c r="ETR50" s="162"/>
      <c r="ETS50" s="162"/>
      <c r="ETT50" s="162"/>
      <c r="ETU50" s="162"/>
      <c r="ETV50" s="162"/>
      <c r="ETW50" s="162"/>
      <c r="ETX50" s="162"/>
      <c r="ETY50" s="162"/>
      <c r="ETZ50" s="162"/>
      <c r="EUA50" s="162"/>
      <c r="EUB50" s="162"/>
      <c r="EUC50" s="162"/>
      <c r="EUD50" s="162"/>
      <c r="EUE50" s="162"/>
      <c r="EUF50" s="162"/>
      <c r="EUG50" s="162"/>
      <c r="EUH50" s="162"/>
      <c r="EUI50" s="162"/>
      <c r="EUJ50" s="162"/>
      <c r="EUK50" s="162"/>
      <c r="EUL50" s="162"/>
      <c r="EUM50" s="162"/>
      <c r="EUN50" s="162"/>
      <c r="EUO50" s="162"/>
      <c r="EUP50" s="162"/>
      <c r="EUQ50" s="162"/>
      <c r="EUR50" s="162"/>
      <c r="EUS50" s="162"/>
      <c r="EUT50" s="162"/>
      <c r="EUU50" s="162"/>
      <c r="EUV50" s="162"/>
      <c r="EUW50" s="162"/>
      <c r="EUX50" s="162"/>
      <c r="EUY50" s="162"/>
      <c r="EUZ50" s="162"/>
      <c r="EVA50" s="162"/>
      <c r="EVB50" s="162"/>
      <c r="EVC50" s="162"/>
      <c r="EVD50" s="162"/>
      <c r="EVE50" s="162"/>
      <c r="EVF50" s="162"/>
      <c r="EVG50" s="162"/>
      <c r="EVH50" s="162"/>
      <c r="EVI50" s="162"/>
      <c r="EVJ50" s="162"/>
      <c r="EVK50" s="162"/>
      <c r="EVL50" s="162"/>
      <c r="EVM50" s="162"/>
      <c r="EVN50" s="162"/>
      <c r="EVO50" s="162"/>
      <c r="EVP50" s="162"/>
      <c r="EVQ50" s="162"/>
      <c r="EVR50" s="162"/>
      <c r="EVS50" s="162"/>
      <c r="EVT50" s="162"/>
      <c r="EVU50" s="162"/>
      <c r="EVV50" s="162"/>
      <c r="EVW50" s="162"/>
      <c r="EVX50" s="162"/>
      <c r="EVY50" s="162"/>
      <c r="EVZ50" s="162"/>
      <c r="EWA50" s="162"/>
      <c r="EWB50" s="162"/>
      <c r="EWC50" s="162"/>
      <c r="EWD50" s="162"/>
      <c r="EWE50" s="162"/>
      <c r="EWF50" s="162"/>
      <c r="EWG50" s="162"/>
      <c r="EWH50" s="162"/>
      <c r="EWI50" s="162"/>
      <c r="EWJ50" s="162"/>
      <c r="EWK50" s="162"/>
      <c r="EWL50" s="162"/>
      <c r="EWM50" s="162"/>
      <c r="EWN50" s="162"/>
      <c r="EWO50" s="162"/>
      <c r="EWP50" s="162"/>
      <c r="EWQ50" s="162"/>
      <c r="EWR50" s="162"/>
      <c r="EWS50" s="162"/>
      <c r="EWT50" s="162"/>
      <c r="EWU50" s="162"/>
      <c r="EWV50" s="162"/>
      <c r="EWW50" s="162"/>
      <c r="EWX50" s="162"/>
      <c r="EWY50" s="162"/>
      <c r="EWZ50" s="162"/>
      <c r="EXA50" s="162"/>
      <c r="EXB50" s="162"/>
      <c r="EXC50" s="162"/>
      <c r="EXD50" s="162"/>
      <c r="EXE50" s="162"/>
      <c r="EXF50" s="162"/>
      <c r="EXG50" s="162"/>
      <c r="EXH50" s="162"/>
      <c r="EXI50" s="162"/>
      <c r="EXJ50" s="162"/>
      <c r="EXK50" s="162"/>
      <c r="EXL50" s="162"/>
      <c r="EXM50" s="162"/>
      <c r="EXN50" s="162"/>
      <c r="EXO50" s="162"/>
      <c r="EXP50" s="162"/>
      <c r="EXQ50" s="162"/>
      <c r="EXR50" s="162"/>
      <c r="EXS50" s="162"/>
      <c r="EXT50" s="162"/>
      <c r="EXU50" s="162"/>
      <c r="EXV50" s="162"/>
      <c r="EXW50" s="162"/>
      <c r="EXX50" s="162"/>
      <c r="EXY50" s="162"/>
      <c r="EXZ50" s="162"/>
      <c r="EYA50" s="162"/>
      <c r="EYB50" s="162"/>
      <c r="EYC50" s="162"/>
      <c r="EYD50" s="162"/>
      <c r="EYE50" s="162"/>
      <c r="EYF50" s="162"/>
      <c r="EYG50" s="162"/>
      <c r="EYH50" s="162"/>
      <c r="EYI50" s="162"/>
      <c r="EYJ50" s="162"/>
      <c r="EYK50" s="162"/>
      <c r="EYL50" s="162"/>
      <c r="EYM50" s="162"/>
      <c r="EYN50" s="162"/>
      <c r="EYO50" s="162"/>
      <c r="EYP50" s="162"/>
      <c r="EYQ50" s="162"/>
      <c r="EYR50" s="162"/>
      <c r="EYS50" s="162"/>
      <c r="EYT50" s="162"/>
      <c r="EYU50" s="162"/>
      <c r="EYV50" s="162"/>
      <c r="EYW50" s="162"/>
      <c r="EYX50" s="162"/>
      <c r="EYY50" s="162"/>
      <c r="EYZ50" s="162"/>
      <c r="EZA50" s="162"/>
      <c r="EZB50" s="162"/>
      <c r="EZC50" s="162"/>
      <c r="EZD50" s="162"/>
      <c r="EZE50" s="162"/>
      <c r="EZF50" s="162"/>
      <c r="EZG50" s="162"/>
      <c r="EZH50" s="162"/>
      <c r="EZI50" s="162"/>
      <c r="EZJ50" s="162"/>
      <c r="EZK50" s="162"/>
      <c r="EZL50" s="162"/>
      <c r="EZM50" s="162"/>
      <c r="EZN50" s="162"/>
      <c r="EZO50" s="162"/>
      <c r="EZP50" s="162"/>
      <c r="EZQ50" s="162"/>
      <c r="EZR50" s="162"/>
      <c r="EZS50" s="162"/>
      <c r="EZT50" s="162"/>
      <c r="EZU50" s="162"/>
      <c r="EZV50" s="162"/>
      <c r="EZW50" s="162"/>
      <c r="EZX50" s="162"/>
      <c r="EZY50" s="162"/>
      <c r="EZZ50" s="162"/>
      <c r="FAA50" s="162"/>
      <c r="FAB50" s="162"/>
      <c r="FAC50" s="162"/>
      <c r="FAD50" s="162"/>
      <c r="FAE50" s="162"/>
      <c r="FAF50" s="162"/>
      <c r="FAG50" s="162"/>
      <c r="FAH50" s="162"/>
      <c r="FAI50" s="162"/>
      <c r="FAJ50" s="162"/>
      <c r="FAK50" s="162"/>
      <c r="FAL50" s="162"/>
      <c r="FAM50" s="162"/>
      <c r="FAN50" s="162"/>
      <c r="FAO50" s="162"/>
      <c r="FAP50" s="162"/>
      <c r="FAQ50" s="162"/>
      <c r="FAR50" s="162"/>
      <c r="FAS50" s="162"/>
      <c r="FAT50" s="162"/>
      <c r="FAU50" s="162"/>
      <c r="FAV50" s="162"/>
      <c r="FAW50" s="162"/>
      <c r="FAX50" s="162"/>
      <c r="FAY50" s="162"/>
      <c r="FAZ50" s="162"/>
      <c r="FBA50" s="162"/>
      <c r="FBB50" s="162"/>
      <c r="FBC50" s="162"/>
      <c r="FBD50" s="162"/>
      <c r="FBE50" s="162"/>
      <c r="FBF50" s="162"/>
      <c r="FBG50" s="162"/>
      <c r="FBH50" s="162"/>
      <c r="FBI50" s="162"/>
      <c r="FBJ50" s="162"/>
      <c r="FBK50" s="162"/>
      <c r="FBL50" s="162"/>
      <c r="FBM50" s="162"/>
      <c r="FBN50" s="162"/>
      <c r="FBO50" s="162"/>
      <c r="FBP50" s="162"/>
      <c r="FBQ50" s="162"/>
      <c r="FBR50" s="162"/>
      <c r="FBS50" s="162"/>
      <c r="FBT50" s="162"/>
      <c r="FBU50" s="162"/>
      <c r="FBV50" s="162"/>
      <c r="FBW50" s="162"/>
      <c r="FBX50" s="162"/>
      <c r="FBY50" s="162"/>
      <c r="FBZ50" s="162"/>
      <c r="FCA50" s="162"/>
      <c r="FCB50" s="162"/>
      <c r="FCC50" s="162"/>
      <c r="FCD50" s="162"/>
      <c r="FCE50" s="162"/>
      <c r="FCF50" s="162"/>
      <c r="FCG50" s="162"/>
      <c r="FCH50" s="162"/>
      <c r="FCI50" s="162"/>
      <c r="FCJ50" s="162"/>
      <c r="FCK50" s="162"/>
      <c r="FCL50" s="162"/>
      <c r="FCM50" s="162"/>
      <c r="FCN50" s="162"/>
      <c r="FCO50" s="162"/>
      <c r="FCP50" s="162"/>
      <c r="FCQ50" s="162"/>
      <c r="FCR50" s="162"/>
      <c r="FCS50" s="162"/>
      <c r="FCT50" s="162"/>
      <c r="FCU50" s="162"/>
      <c r="FCV50" s="162"/>
      <c r="FCW50" s="162"/>
      <c r="FCX50" s="162"/>
      <c r="FCY50" s="162"/>
      <c r="FCZ50" s="162"/>
      <c r="FDA50" s="162"/>
      <c r="FDB50" s="162"/>
      <c r="FDC50" s="162"/>
      <c r="FDD50" s="162"/>
      <c r="FDE50" s="162"/>
      <c r="FDF50" s="162"/>
      <c r="FDG50" s="162"/>
      <c r="FDH50" s="162"/>
      <c r="FDI50" s="162"/>
      <c r="FDJ50" s="162"/>
      <c r="FDK50" s="162"/>
      <c r="FDL50" s="162"/>
      <c r="FDM50" s="162"/>
      <c r="FDN50" s="162"/>
      <c r="FDO50" s="162"/>
      <c r="FDP50" s="162"/>
      <c r="FDQ50" s="162"/>
      <c r="FDR50" s="162"/>
      <c r="FDS50" s="162"/>
      <c r="FDT50" s="162"/>
      <c r="FDU50" s="162"/>
      <c r="FDV50" s="162"/>
      <c r="FDW50" s="162"/>
      <c r="FDX50" s="162"/>
      <c r="FDY50" s="162"/>
      <c r="FDZ50" s="162"/>
      <c r="FEA50" s="162"/>
      <c r="FEB50" s="162"/>
      <c r="FEC50" s="162"/>
      <c r="FED50" s="162"/>
      <c r="FEE50" s="162"/>
      <c r="FEF50" s="162"/>
      <c r="FEG50" s="162"/>
      <c r="FEH50" s="162"/>
      <c r="FEI50" s="162"/>
      <c r="FEJ50" s="162"/>
      <c r="FEK50" s="162"/>
      <c r="FEL50" s="162"/>
      <c r="FEM50" s="162"/>
      <c r="FEN50" s="162"/>
      <c r="FEO50" s="162"/>
      <c r="FEP50" s="162"/>
      <c r="FEQ50" s="162"/>
      <c r="FER50" s="162"/>
      <c r="FES50" s="162"/>
      <c r="FET50" s="162"/>
      <c r="FEU50" s="162"/>
      <c r="FEV50" s="162"/>
      <c r="FEW50" s="162"/>
      <c r="FEX50" s="162"/>
      <c r="FEY50" s="162"/>
      <c r="FEZ50" s="162"/>
      <c r="FFA50" s="162"/>
      <c r="FFB50" s="162"/>
      <c r="FFC50" s="162"/>
      <c r="FFD50" s="162"/>
      <c r="FFE50" s="162"/>
      <c r="FFF50" s="162"/>
      <c r="FFG50" s="162"/>
      <c r="FFH50" s="162"/>
      <c r="FFI50" s="162"/>
      <c r="FFJ50" s="162"/>
      <c r="FFK50" s="162"/>
      <c r="FFL50" s="162"/>
      <c r="FFM50" s="162"/>
      <c r="FFN50" s="162"/>
      <c r="FFO50" s="162"/>
      <c r="FFP50" s="162"/>
      <c r="FFQ50" s="162"/>
      <c r="FFR50" s="162"/>
      <c r="FFS50" s="162"/>
      <c r="FFT50" s="162"/>
      <c r="FFU50" s="162"/>
      <c r="FFV50" s="162"/>
      <c r="FFW50" s="162"/>
      <c r="FFX50" s="162"/>
      <c r="FFY50" s="162"/>
      <c r="FFZ50" s="162"/>
      <c r="FGA50" s="162"/>
      <c r="FGB50" s="162"/>
      <c r="FGC50" s="162"/>
      <c r="FGD50" s="162"/>
      <c r="FGE50" s="162"/>
      <c r="FGF50" s="162"/>
      <c r="FGG50" s="162"/>
      <c r="FGH50" s="162"/>
      <c r="FGI50" s="162"/>
      <c r="FGJ50" s="162"/>
      <c r="FGK50" s="162"/>
      <c r="FGL50" s="162"/>
      <c r="FGM50" s="162"/>
      <c r="FGN50" s="162"/>
      <c r="FGO50" s="162"/>
      <c r="FGP50" s="162"/>
      <c r="FGQ50" s="162"/>
      <c r="FGR50" s="162"/>
      <c r="FGS50" s="162"/>
      <c r="FGT50" s="162"/>
      <c r="FGU50" s="162"/>
      <c r="FGV50" s="162"/>
      <c r="FGW50" s="162"/>
      <c r="FGX50" s="162"/>
      <c r="FGY50" s="162"/>
      <c r="FGZ50" s="162"/>
      <c r="FHA50" s="162"/>
      <c r="FHB50" s="162"/>
      <c r="FHC50" s="162"/>
      <c r="FHD50" s="162"/>
      <c r="FHE50" s="162"/>
      <c r="FHF50" s="162"/>
      <c r="FHG50" s="162"/>
      <c r="FHH50" s="162"/>
      <c r="FHI50" s="162"/>
      <c r="FHJ50" s="162"/>
      <c r="FHK50" s="162"/>
      <c r="FHL50" s="162"/>
      <c r="FHM50" s="162"/>
      <c r="FHN50" s="162"/>
      <c r="FHO50" s="162"/>
      <c r="FHP50" s="162"/>
      <c r="FHQ50" s="162"/>
      <c r="FHR50" s="162"/>
      <c r="FHS50" s="162"/>
      <c r="FHT50" s="162"/>
      <c r="FHU50" s="162"/>
      <c r="FHV50" s="162"/>
      <c r="FHW50" s="162"/>
      <c r="FHX50" s="162"/>
      <c r="FHY50" s="162"/>
      <c r="FHZ50" s="162"/>
      <c r="FIA50" s="162"/>
      <c r="FIB50" s="162"/>
      <c r="FIC50" s="162"/>
      <c r="FID50" s="162"/>
      <c r="FIE50" s="162"/>
      <c r="FIF50" s="162"/>
      <c r="FIG50" s="162"/>
      <c r="FIH50" s="162"/>
      <c r="FII50" s="162"/>
      <c r="FIJ50" s="162"/>
      <c r="FIK50" s="162"/>
      <c r="FIL50" s="162"/>
      <c r="FIM50" s="162"/>
      <c r="FIN50" s="162"/>
      <c r="FIO50" s="162"/>
      <c r="FIP50" s="162"/>
      <c r="FIQ50" s="162"/>
      <c r="FIR50" s="162"/>
      <c r="FIS50" s="162"/>
      <c r="FIT50" s="162"/>
      <c r="FIU50" s="162"/>
      <c r="FIV50" s="162"/>
      <c r="FIW50" s="162"/>
      <c r="FIX50" s="162"/>
      <c r="FIY50" s="162"/>
      <c r="FIZ50" s="162"/>
      <c r="FJA50" s="162"/>
      <c r="FJB50" s="162"/>
      <c r="FJC50" s="162"/>
      <c r="FJD50" s="162"/>
      <c r="FJE50" s="162"/>
      <c r="FJF50" s="162"/>
      <c r="FJG50" s="162"/>
      <c r="FJH50" s="162"/>
      <c r="FJI50" s="162"/>
      <c r="FJJ50" s="162"/>
      <c r="FJK50" s="162"/>
      <c r="FJL50" s="162"/>
      <c r="FJM50" s="162"/>
      <c r="FJN50" s="162"/>
      <c r="FJO50" s="162"/>
      <c r="FJP50" s="162"/>
      <c r="FJQ50" s="162"/>
      <c r="FJR50" s="162"/>
      <c r="FJS50" s="162"/>
      <c r="FJT50" s="162"/>
      <c r="FJU50" s="162"/>
      <c r="FJV50" s="162"/>
      <c r="FJW50" s="162"/>
      <c r="FJX50" s="162"/>
      <c r="FJY50" s="162"/>
      <c r="FJZ50" s="162"/>
      <c r="FKA50" s="162"/>
      <c r="FKB50" s="162"/>
      <c r="FKC50" s="162"/>
      <c r="FKD50" s="162"/>
      <c r="FKE50" s="162"/>
      <c r="FKF50" s="162"/>
      <c r="FKG50" s="162"/>
      <c r="FKH50" s="162"/>
      <c r="FKI50" s="162"/>
      <c r="FKJ50" s="162"/>
      <c r="FKK50" s="162"/>
      <c r="FKL50" s="162"/>
      <c r="FKM50" s="162"/>
      <c r="FKN50" s="162"/>
      <c r="FKO50" s="162"/>
      <c r="FKP50" s="162"/>
      <c r="FKQ50" s="162"/>
      <c r="FKR50" s="162"/>
      <c r="FKS50" s="162"/>
      <c r="FKT50" s="162"/>
      <c r="FKU50" s="162"/>
      <c r="FKV50" s="162"/>
      <c r="FKW50" s="162"/>
      <c r="FKX50" s="162"/>
      <c r="FKY50" s="162"/>
      <c r="FKZ50" s="162"/>
      <c r="FLA50" s="162"/>
      <c r="FLB50" s="162"/>
      <c r="FLC50" s="162"/>
      <c r="FLD50" s="162"/>
      <c r="FLE50" s="162"/>
      <c r="FLF50" s="162"/>
      <c r="FLG50" s="162"/>
      <c r="FLH50" s="162"/>
      <c r="FLI50" s="162"/>
      <c r="FLJ50" s="162"/>
      <c r="FLK50" s="162"/>
      <c r="FLL50" s="162"/>
      <c r="FLM50" s="162"/>
      <c r="FLN50" s="162"/>
      <c r="FLO50" s="162"/>
      <c r="FLP50" s="162"/>
      <c r="FLQ50" s="162"/>
      <c r="FLR50" s="162"/>
      <c r="FLS50" s="162"/>
      <c r="FLT50" s="162"/>
      <c r="FLU50" s="162"/>
      <c r="FLV50" s="162"/>
      <c r="FLW50" s="162"/>
      <c r="FLX50" s="162"/>
      <c r="FLY50" s="162"/>
      <c r="FLZ50" s="162"/>
      <c r="FMA50" s="162"/>
      <c r="FMB50" s="162"/>
      <c r="FMC50" s="162"/>
      <c r="FMD50" s="162"/>
      <c r="FME50" s="162"/>
      <c r="FMF50" s="162"/>
      <c r="FMG50" s="162"/>
      <c r="FMH50" s="162"/>
      <c r="FMI50" s="162"/>
      <c r="FMJ50" s="162"/>
      <c r="FMK50" s="162"/>
      <c r="FML50" s="162"/>
      <c r="FMM50" s="162"/>
      <c r="FMN50" s="162"/>
      <c r="FMO50" s="162"/>
      <c r="FMP50" s="162"/>
      <c r="FMQ50" s="162"/>
      <c r="FMR50" s="162"/>
      <c r="FMS50" s="162"/>
      <c r="FMT50" s="162"/>
      <c r="FMU50" s="162"/>
      <c r="FMV50" s="162"/>
      <c r="FMW50" s="162"/>
      <c r="FMX50" s="162"/>
      <c r="FMY50" s="162"/>
      <c r="FMZ50" s="162"/>
      <c r="FNA50" s="162"/>
      <c r="FNB50" s="162"/>
      <c r="FNC50" s="162"/>
      <c r="FND50" s="162"/>
      <c r="FNE50" s="162"/>
      <c r="FNF50" s="162"/>
      <c r="FNG50" s="162"/>
      <c r="FNH50" s="162"/>
      <c r="FNI50" s="162"/>
      <c r="FNJ50" s="162"/>
      <c r="FNK50" s="162"/>
      <c r="FNL50" s="162"/>
      <c r="FNM50" s="162"/>
      <c r="FNN50" s="162"/>
      <c r="FNO50" s="162"/>
      <c r="FNP50" s="162"/>
      <c r="FNQ50" s="162"/>
      <c r="FNR50" s="162"/>
      <c r="FNS50" s="162"/>
      <c r="FNT50" s="162"/>
      <c r="FNU50" s="162"/>
      <c r="FNV50" s="162"/>
      <c r="FNW50" s="162"/>
      <c r="FNX50" s="162"/>
      <c r="FNY50" s="162"/>
      <c r="FNZ50" s="162"/>
      <c r="FOA50" s="162"/>
      <c r="FOB50" s="162"/>
      <c r="FOC50" s="162"/>
      <c r="FOD50" s="162"/>
      <c r="FOE50" s="162"/>
      <c r="FOF50" s="162"/>
      <c r="FOG50" s="162"/>
      <c r="FOH50" s="162"/>
      <c r="FOI50" s="162"/>
      <c r="FOJ50" s="162"/>
      <c r="FOK50" s="162"/>
      <c r="FOL50" s="162"/>
      <c r="FOM50" s="162"/>
      <c r="FON50" s="162"/>
      <c r="FOO50" s="162"/>
      <c r="FOP50" s="162"/>
      <c r="FOQ50" s="162"/>
      <c r="FOR50" s="162"/>
      <c r="FOS50" s="162"/>
      <c r="FOT50" s="162"/>
      <c r="FOU50" s="162"/>
      <c r="FOV50" s="162"/>
      <c r="FOW50" s="162"/>
      <c r="FOX50" s="162"/>
      <c r="FOY50" s="162"/>
      <c r="FOZ50" s="162"/>
      <c r="FPA50" s="162"/>
      <c r="FPB50" s="162"/>
      <c r="FPC50" s="162"/>
      <c r="FPD50" s="162"/>
      <c r="FPE50" s="162"/>
      <c r="FPF50" s="162"/>
      <c r="FPG50" s="162"/>
      <c r="FPH50" s="162"/>
      <c r="FPI50" s="162"/>
      <c r="FPJ50" s="162"/>
      <c r="FPK50" s="162"/>
      <c r="FPL50" s="162"/>
      <c r="FPM50" s="162"/>
      <c r="FPN50" s="162"/>
      <c r="FPO50" s="162"/>
      <c r="FPP50" s="162"/>
      <c r="FPQ50" s="162"/>
      <c r="FPR50" s="162"/>
      <c r="FPS50" s="162"/>
      <c r="FPT50" s="162"/>
      <c r="FPU50" s="162"/>
      <c r="FPV50" s="162"/>
      <c r="FPW50" s="162"/>
      <c r="FPX50" s="162"/>
      <c r="FPY50" s="162"/>
      <c r="FPZ50" s="162"/>
      <c r="FQA50" s="162"/>
      <c r="FQB50" s="162"/>
      <c r="FQC50" s="162"/>
      <c r="FQD50" s="162"/>
      <c r="FQE50" s="162"/>
      <c r="FQF50" s="162"/>
      <c r="FQG50" s="162"/>
      <c r="FQH50" s="162"/>
      <c r="FQI50" s="162"/>
      <c r="FQJ50" s="162"/>
      <c r="FQK50" s="162"/>
      <c r="FQL50" s="162"/>
      <c r="FQM50" s="162"/>
      <c r="FQN50" s="162"/>
      <c r="FQO50" s="162"/>
      <c r="FQP50" s="162"/>
      <c r="FQQ50" s="162"/>
      <c r="FQR50" s="162"/>
      <c r="FQS50" s="162"/>
      <c r="FQT50" s="162"/>
      <c r="FQU50" s="162"/>
      <c r="FQV50" s="162"/>
      <c r="FQW50" s="162"/>
      <c r="FQX50" s="162"/>
      <c r="FQY50" s="162"/>
      <c r="FQZ50" s="162"/>
      <c r="FRA50" s="162"/>
      <c r="FRB50" s="162"/>
      <c r="FRC50" s="162"/>
      <c r="FRD50" s="162"/>
      <c r="FRE50" s="162"/>
      <c r="FRF50" s="162"/>
      <c r="FRG50" s="162"/>
      <c r="FRH50" s="162"/>
      <c r="FRI50" s="162"/>
      <c r="FRJ50" s="162"/>
      <c r="FRK50" s="162"/>
      <c r="FRL50" s="162"/>
      <c r="FRM50" s="162"/>
      <c r="FRN50" s="162"/>
      <c r="FRO50" s="162"/>
      <c r="FRP50" s="162"/>
      <c r="FRQ50" s="162"/>
      <c r="FRR50" s="162"/>
      <c r="FRS50" s="162"/>
      <c r="FRT50" s="162"/>
      <c r="FRU50" s="162"/>
      <c r="FRV50" s="162"/>
      <c r="FRW50" s="162"/>
      <c r="FRX50" s="162"/>
      <c r="FRY50" s="162"/>
      <c r="FRZ50" s="162"/>
      <c r="FSA50" s="162"/>
      <c r="FSB50" s="162"/>
      <c r="FSC50" s="162"/>
      <c r="FSD50" s="162"/>
      <c r="FSE50" s="162"/>
      <c r="FSF50" s="162"/>
      <c r="FSG50" s="162"/>
      <c r="FSH50" s="162"/>
      <c r="FSI50" s="162"/>
      <c r="FSJ50" s="162"/>
      <c r="FSK50" s="162"/>
      <c r="FSL50" s="162"/>
      <c r="FSM50" s="162"/>
      <c r="FSN50" s="162"/>
      <c r="FSO50" s="162"/>
      <c r="FSP50" s="162"/>
      <c r="FSQ50" s="162"/>
      <c r="FSR50" s="162"/>
      <c r="FSS50" s="162"/>
      <c r="FST50" s="162"/>
      <c r="FSU50" s="162"/>
      <c r="FSV50" s="162"/>
      <c r="FSW50" s="162"/>
      <c r="FSX50" s="162"/>
      <c r="FSY50" s="162"/>
      <c r="FSZ50" s="162"/>
      <c r="FTA50" s="162"/>
      <c r="FTB50" s="162"/>
      <c r="FTC50" s="162"/>
      <c r="FTD50" s="162"/>
      <c r="FTE50" s="162"/>
      <c r="FTF50" s="162"/>
      <c r="FTG50" s="162"/>
      <c r="FTH50" s="162"/>
      <c r="FTI50" s="162"/>
      <c r="FTJ50" s="162"/>
      <c r="FTK50" s="162"/>
      <c r="FTL50" s="162"/>
      <c r="FTM50" s="162"/>
      <c r="FTN50" s="162"/>
      <c r="FTO50" s="162"/>
      <c r="FTP50" s="162"/>
      <c r="FTQ50" s="162"/>
      <c r="FTR50" s="162"/>
      <c r="FTS50" s="162"/>
      <c r="FTT50" s="162"/>
      <c r="FTU50" s="162"/>
      <c r="FTV50" s="162"/>
      <c r="FTW50" s="162"/>
      <c r="FTX50" s="162"/>
      <c r="FTY50" s="162"/>
      <c r="FTZ50" s="162"/>
      <c r="FUA50" s="162"/>
      <c r="FUB50" s="162"/>
      <c r="FUC50" s="162"/>
      <c r="FUD50" s="162"/>
      <c r="FUE50" s="162"/>
      <c r="FUF50" s="162"/>
      <c r="FUG50" s="162"/>
      <c r="FUH50" s="162"/>
      <c r="FUI50" s="162"/>
      <c r="FUJ50" s="162"/>
      <c r="FUK50" s="162"/>
      <c r="FUL50" s="162"/>
      <c r="FUM50" s="162"/>
      <c r="FUN50" s="162"/>
      <c r="FUO50" s="162"/>
      <c r="FUP50" s="162"/>
      <c r="FUQ50" s="162"/>
      <c r="FUR50" s="162"/>
      <c r="FUS50" s="162"/>
      <c r="FUT50" s="162"/>
      <c r="FUU50" s="162"/>
      <c r="FUV50" s="162"/>
      <c r="FUW50" s="162"/>
      <c r="FUX50" s="162"/>
      <c r="FUY50" s="162"/>
      <c r="FUZ50" s="162"/>
      <c r="FVA50" s="162"/>
      <c r="FVB50" s="162"/>
      <c r="FVC50" s="162"/>
      <c r="FVD50" s="162"/>
      <c r="FVE50" s="162"/>
      <c r="FVF50" s="162"/>
      <c r="FVG50" s="162"/>
      <c r="FVH50" s="162"/>
      <c r="FVI50" s="162"/>
      <c r="FVJ50" s="162"/>
      <c r="FVK50" s="162"/>
      <c r="FVL50" s="162"/>
      <c r="FVM50" s="162"/>
      <c r="FVN50" s="162"/>
      <c r="FVO50" s="162"/>
      <c r="FVP50" s="162"/>
      <c r="FVQ50" s="162"/>
      <c r="FVR50" s="162"/>
      <c r="FVS50" s="162"/>
      <c r="FVT50" s="162"/>
      <c r="FVU50" s="162"/>
      <c r="FVV50" s="162"/>
      <c r="FVW50" s="162"/>
      <c r="FVX50" s="162"/>
      <c r="FVY50" s="162"/>
      <c r="FVZ50" s="162"/>
      <c r="FWA50" s="162"/>
      <c r="FWB50" s="162"/>
      <c r="FWC50" s="162"/>
      <c r="FWD50" s="162"/>
      <c r="FWE50" s="162"/>
      <c r="FWF50" s="162"/>
      <c r="FWG50" s="162"/>
      <c r="FWH50" s="162"/>
      <c r="FWI50" s="162"/>
      <c r="FWJ50" s="162"/>
      <c r="FWK50" s="162"/>
      <c r="FWL50" s="162"/>
      <c r="FWM50" s="162"/>
      <c r="FWN50" s="162"/>
      <c r="FWO50" s="162"/>
      <c r="FWP50" s="162"/>
      <c r="FWQ50" s="162"/>
      <c r="FWR50" s="162"/>
      <c r="FWS50" s="162"/>
      <c r="FWT50" s="162"/>
      <c r="FWU50" s="162"/>
      <c r="FWV50" s="162"/>
      <c r="FWW50" s="162"/>
      <c r="FWX50" s="162"/>
      <c r="FWY50" s="162"/>
      <c r="FWZ50" s="162"/>
      <c r="FXA50" s="162"/>
      <c r="FXB50" s="162"/>
      <c r="FXC50" s="162"/>
      <c r="FXD50" s="162"/>
      <c r="FXE50" s="162"/>
      <c r="FXF50" s="162"/>
      <c r="FXG50" s="162"/>
      <c r="FXH50" s="162"/>
      <c r="FXI50" s="162"/>
      <c r="FXJ50" s="162"/>
      <c r="FXK50" s="162"/>
      <c r="FXL50" s="162"/>
      <c r="FXM50" s="162"/>
      <c r="FXN50" s="162"/>
      <c r="FXO50" s="162"/>
      <c r="FXP50" s="162"/>
      <c r="FXQ50" s="162"/>
      <c r="FXR50" s="162"/>
      <c r="FXS50" s="162"/>
      <c r="FXT50" s="162"/>
      <c r="FXU50" s="162"/>
      <c r="FXV50" s="162"/>
      <c r="FXW50" s="162"/>
      <c r="FXX50" s="162"/>
      <c r="FXY50" s="162"/>
      <c r="FXZ50" s="162"/>
      <c r="FYA50" s="162"/>
      <c r="FYB50" s="162"/>
      <c r="FYC50" s="162"/>
      <c r="FYD50" s="162"/>
      <c r="FYE50" s="162"/>
      <c r="FYF50" s="162"/>
      <c r="FYG50" s="162"/>
      <c r="FYH50" s="162"/>
      <c r="FYI50" s="162"/>
      <c r="FYJ50" s="162"/>
      <c r="FYK50" s="162"/>
      <c r="FYL50" s="162"/>
      <c r="FYM50" s="162"/>
      <c r="FYN50" s="162"/>
      <c r="FYO50" s="162"/>
      <c r="FYP50" s="162"/>
      <c r="FYQ50" s="162"/>
      <c r="FYR50" s="162"/>
      <c r="FYS50" s="162"/>
      <c r="FYT50" s="162"/>
      <c r="FYU50" s="162"/>
      <c r="FYV50" s="162"/>
      <c r="FYW50" s="162"/>
      <c r="FYX50" s="162"/>
      <c r="FYY50" s="162"/>
      <c r="FYZ50" s="162"/>
      <c r="FZA50" s="162"/>
      <c r="FZB50" s="162"/>
      <c r="FZC50" s="162"/>
      <c r="FZD50" s="162"/>
      <c r="FZE50" s="162"/>
      <c r="FZF50" s="162"/>
      <c r="FZG50" s="162"/>
      <c r="FZH50" s="162"/>
      <c r="FZI50" s="162"/>
      <c r="FZJ50" s="162"/>
      <c r="FZK50" s="162"/>
      <c r="FZL50" s="162"/>
      <c r="FZM50" s="162"/>
      <c r="FZN50" s="162"/>
      <c r="FZO50" s="162"/>
      <c r="FZP50" s="162"/>
      <c r="FZQ50" s="162"/>
      <c r="FZR50" s="162"/>
      <c r="FZS50" s="162"/>
      <c r="FZT50" s="162"/>
      <c r="FZU50" s="162"/>
      <c r="FZV50" s="162"/>
      <c r="FZW50" s="162"/>
      <c r="FZX50" s="162"/>
      <c r="FZY50" s="162"/>
      <c r="FZZ50" s="162"/>
      <c r="GAA50" s="162"/>
      <c r="GAB50" s="162"/>
      <c r="GAC50" s="162"/>
      <c r="GAD50" s="162"/>
      <c r="GAE50" s="162"/>
      <c r="GAF50" s="162"/>
      <c r="GAG50" s="162"/>
      <c r="GAH50" s="162"/>
      <c r="GAI50" s="162"/>
      <c r="GAJ50" s="162"/>
      <c r="GAK50" s="162"/>
      <c r="GAL50" s="162"/>
      <c r="GAM50" s="162"/>
      <c r="GAN50" s="162"/>
      <c r="GAO50" s="162"/>
      <c r="GAP50" s="162"/>
      <c r="GAQ50" s="162"/>
      <c r="GAR50" s="162"/>
      <c r="GAS50" s="162"/>
      <c r="GAT50" s="162"/>
      <c r="GAU50" s="162"/>
      <c r="GAV50" s="162"/>
      <c r="GAW50" s="162"/>
      <c r="GAX50" s="162"/>
      <c r="GAY50" s="162"/>
      <c r="GAZ50" s="162"/>
      <c r="GBA50" s="162"/>
      <c r="GBB50" s="162"/>
      <c r="GBC50" s="162"/>
      <c r="GBD50" s="162"/>
      <c r="GBE50" s="162"/>
      <c r="GBF50" s="162"/>
      <c r="GBG50" s="162"/>
      <c r="GBH50" s="162"/>
      <c r="GBI50" s="162"/>
      <c r="GBJ50" s="162"/>
      <c r="GBK50" s="162"/>
      <c r="GBL50" s="162"/>
      <c r="GBM50" s="162"/>
      <c r="GBN50" s="162"/>
      <c r="GBO50" s="162"/>
      <c r="GBP50" s="162"/>
      <c r="GBQ50" s="162"/>
      <c r="GBR50" s="162"/>
      <c r="GBS50" s="162"/>
      <c r="GBT50" s="162"/>
      <c r="GBU50" s="162"/>
      <c r="GBV50" s="162"/>
      <c r="GBW50" s="162"/>
      <c r="GBX50" s="162"/>
      <c r="GBY50" s="162"/>
      <c r="GBZ50" s="162"/>
      <c r="GCA50" s="162"/>
      <c r="GCB50" s="162"/>
      <c r="GCC50" s="162"/>
      <c r="GCD50" s="162"/>
      <c r="GCE50" s="162"/>
      <c r="GCF50" s="162"/>
      <c r="GCG50" s="162"/>
      <c r="GCH50" s="162"/>
      <c r="GCI50" s="162"/>
      <c r="GCJ50" s="162"/>
      <c r="GCK50" s="162"/>
      <c r="GCL50" s="162"/>
      <c r="GCM50" s="162"/>
      <c r="GCN50" s="162"/>
      <c r="GCO50" s="162"/>
      <c r="GCP50" s="162"/>
      <c r="GCQ50" s="162"/>
      <c r="GCR50" s="162"/>
      <c r="GCS50" s="162"/>
      <c r="GCT50" s="162"/>
      <c r="GCU50" s="162"/>
      <c r="GCV50" s="162"/>
      <c r="GCW50" s="162"/>
      <c r="GCX50" s="162"/>
      <c r="GCY50" s="162"/>
      <c r="GCZ50" s="162"/>
      <c r="GDA50" s="162"/>
      <c r="GDB50" s="162"/>
      <c r="GDC50" s="162"/>
      <c r="GDD50" s="162"/>
      <c r="GDE50" s="162"/>
      <c r="GDF50" s="162"/>
      <c r="GDG50" s="162"/>
      <c r="GDH50" s="162"/>
      <c r="GDI50" s="162"/>
      <c r="GDJ50" s="162"/>
      <c r="GDK50" s="162"/>
      <c r="GDL50" s="162"/>
      <c r="GDM50" s="162"/>
      <c r="GDN50" s="162"/>
      <c r="GDO50" s="162"/>
      <c r="GDP50" s="162"/>
      <c r="GDQ50" s="162"/>
      <c r="GDR50" s="162"/>
      <c r="GDS50" s="162"/>
      <c r="GDT50" s="162"/>
      <c r="GDU50" s="162"/>
      <c r="GDV50" s="162"/>
      <c r="GDW50" s="162"/>
      <c r="GDX50" s="162"/>
      <c r="GDY50" s="162"/>
      <c r="GDZ50" s="162"/>
      <c r="GEA50" s="162"/>
      <c r="GEB50" s="162"/>
      <c r="GEC50" s="162"/>
      <c r="GED50" s="162"/>
      <c r="GEE50" s="162"/>
      <c r="GEF50" s="162"/>
      <c r="GEG50" s="162"/>
      <c r="GEH50" s="162"/>
      <c r="GEI50" s="162"/>
      <c r="GEJ50" s="162"/>
      <c r="GEK50" s="162"/>
      <c r="GEL50" s="162"/>
      <c r="GEM50" s="162"/>
      <c r="GEN50" s="162"/>
      <c r="GEO50" s="162"/>
      <c r="GEP50" s="162"/>
      <c r="GEQ50" s="162"/>
      <c r="GER50" s="162"/>
      <c r="GES50" s="162"/>
      <c r="GET50" s="162"/>
      <c r="GEU50" s="162"/>
      <c r="GEV50" s="162"/>
      <c r="GEW50" s="162"/>
      <c r="GEX50" s="162"/>
      <c r="GEY50" s="162"/>
      <c r="GEZ50" s="162"/>
      <c r="GFA50" s="162"/>
      <c r="GFB50" s="162"/>
      <c r="GFC50" s="162"/>
      <c r="GFD50" s="162"/>
      <c r="GFE50" s="162"/>
      <c r="GFF50" s="162"/>
      <c r="GFG50" s="162"/>
      <c r="GFH50" s="162"/>
      <c r="GFI50" s="162"/>
      <c r="GFJ50" s="162"/>
      <c r="GFK50" s="162"/>
      <c r="GFL50" s="162"/>
      <c r="GFM50" s="162"/>
      <c r="GFN50" s="162"/>
      <c r="GFO50" s="162"/>
      <c r="GFP50" s="162"/>
      <c r="GFQ50" s="162"/>
      <c r="GFR50" s="162"/>
      <c r="GFS50" s="162"/>
      <c r="GFT50" s="162"/>
      <c r="GFU50" s="162"/>
      <c r="GFV50" s="162"/>
      <c r="GFW50" s="162"/>
      <c r="GFX50" s="162"/>
      <c r="GFY50" s="162"/>
      <c r="GFZ50" s="162"/>
      <c r="GGA50" s="162"/>
      <c r="GGB50" s="162"/>
      <c r="GGC50" s="162"/>
      <c r="GGD50" s="162"/>
      <c r="GGE50" s="162"/>
      <c r="GGF50" s="162"/>
      <c r="GGG50" s="162"/>
      <c r="GGH50" s="162"/>
      <c r="GGI50" s="162"/>
      <c r="GGJ50" s="162"/>
      <c r="GGK50" s="162"/>
      <c r="GGL50" s="162"/>
      <c r="GGM50" s="162"/>
      <c r="GGN50" s="162"/>
      <c r="GGO50" s="162"/>
      <c r="GGP50" s="162"/>
      <c r="GGQ50" s="162"/>
      <c r="GGR50" s="162"/>
      <c r="GGS50" s="162"/>
      <c r="GGT50" s="162"/>
      <c r="GGU50" s="162"/>
      <c r="GGV50" s="162"/>
      <c r="GGW50" s="162"/>
      <c r="GGX50" s="162"/>
      <c r="GGY50" s="162"/>
      <c r="GGZ50" s="162"/>
      <c r="GHA50" s="162"/>
      <c r="GHB50" s="162"/>
      <c r="GHC50" s="162"/>
      <c r="GHD50" s="162"/>
      <c r="GHE50" s="162"/>
      <c r="GHF50" s="162"/>
      <c r="GHG50" s="162"/>
      <c r="GHH50" s="162"/>
      <c r="GHI50" s="162"/>
      <c r="GHJ50" s="162"/>
      <c r="GHK50" s="162"/>
      <c r="GHL50" s="162"/>
      <c r="GHM50" s="162"/>
      <c r="GHN50" s="162"/>
      <c r="GHO50" s="162"/>
      <c r="GHP50" s="162"/>
      <c r="GHQ50" s="162"/>
      <c r="GHR50" s="162"/>
      <c r="GHS50" s="162"/>
      <c r="GHT50" s="162"/>
      <c r="GHU50" s="162"/>
      <c r="GHV50" s="162"/>
      <c r="GHW50" s="162"/>
      <c r="GHX50" s="162"/>
      <c r="GHY50" s="162"/>
      <c r="GHZ50" s="162"/>
      <c r="GIA50" s="162"/>
      <c r="GIB50" s="162"/>
      <c r="GIC50" s="162"/>
      <c r="GID50" s="162"/>
      <c r="GIE50" s="162"/>
      <c r="GIF50" s="162"/>
      <c r="GIG50" s="162"/>
      <c r="GIH50" s="162"/>
      <c r="GII50" s="162"/>
      <c r="GIJ50" s="162"/>
      <c r="GIK50" s="162"/>
      <c r="GIL50" s="162"/>
      <c r="GIM50" s="162"/>
      <c r="GIN50" s="162"/>
      <c r="GIO50" s="162"/>
      <c r="GIP50" s="162"/>
      <c r="GIQ50" s="162"/>
      <c r="GIR50" s="162"/>
      <c r="GIS50" s="162"/>
      <c r="GIT50" s="162"/>
      <c r="GIU50" s="162"/>
      <c r="GIV50" s="162"/>
      <c r="GIW50" s="162"/>
      <c r="GIX50" s="162"/>
      <c r="GIY50" s="162"/>
      <c r="GIZ50" s="162"/>
      <c r="GJA50" s="162"/>
      <c r="GJB50" s="162"/>
      <c r="GJC50" s="162"/>
      <c r="GJD50" s="162"/>
      <c r="GJE50" s="162"/>
      <c r="GJF50" s="162"/>
      <c r="GJG50" s="162"/>
      <c r="GJH50" s="162"/>
      <c r="GJI50" s="162"/>
      <c r="GJJ50" s="162"/>
      <c r="GJK50" s="162"/>
      <c r="GJL50" s="162"/>
      <c r="GJM50" s="162"/>
      <c r="GJN50" s="162"/>
      <c r="GJO50" s="162"/>
      <c r="GJP50" s="162"/>
      <c r="GJQ50" s="162"/>
      <c r="GJR50" s="162"/>
      <c r="GJS50" s="162"/>
      <c r="GJT50" s="162"/>
      <c r="GJU50" s="162"/>
      <c r="GJV50" s="162"/>
      <c r="GJW50" s="162"/>
      <c r="GJX50" s="162"/>
      <c r="GJY50" s="162"/>
      <c r="GJZ50" s="162"/>
      <c r="GKA50" s="162"/>
      <c r="GKB50" s="162"/>
      <c r="GKC50" s="162"/>
      <c r="GKD50" s="162"/>
      <c r="GKE50" s="162"/>
      <c r="GKF50" s="162"/>
      <c r="GKG50" s="162"/>
      <c r="GKH50" s="162"/>
      <c r="GKI50" s="162"/>
      <c r="GKJ50" s="162"/>
      <c r="GKK50" s="162"/>
      <c r="GKL50" s="162"/>
      <c r="GKM50" s="162"/>
      <c r="GKN50" s="162"/>
      <c r="GKO50" s="162"/>
      <c r="GKP50" s="162"/>
      <c r="GKQ50" s="162"/>
      <c r="GKR50" s="162"/>
      <c r="GKS50" s="162"/>
      <c r="GKT50" s="162"/>
      <c r="GKU50" s="162"/>
      <c r="GKV50" s="162"/>
      <c r="GKW50" s="162"/>
      <c r="GKX50" s="162"/>
      <c r="GKY50" s="162"/>
      <c r="GKZ50" s="162"/>
      <c r="GLA50" s="162"/>
      <c r="GLB50" s="162"/>
      <c r="GLC50" s="162"/>
      <c r="GLD50" s="162"/>
      <c r="GLE50" s="162"/>
      <c r="GLF50" s="162"/>
      <c r="GLG50" s="162"/>
      <c r="GLH50" s="162"/>
      <c r="GLI50" s="162"/>
      <c r="GLJ50" s="162"/>
      <c r="GLK50" s="162"/>
      <c r="GLL50" s="162"/>
      <c r="GLM50" s="162"/>
      <c r="GLN50" s="162"/>
      <c r="GLO50" s="162"/>
      <c r="GLP50" s="162"/>
      <c r="GLQ50" s="162"/>
      <c r="GLR50" s="162"/>
      <c r="GLS50" s="162"/>
      <c r="GLT50" s="162"/>
      <c r="GLU50" s="162"/>
      <c r="GLV50" s="162"/>
      <c r="GLW50" s="162"/>
      <c r="GLX50" s="162"/>
      <c r="GLY50" s="162"/>
      <c r="GLZ50" s="162"/>
      <c r="GMA50" s="162"/>
      <c r="GMB50" s="162"/>
      <c r="GMC50" s="162"/>
      <c r="GMD50" s="162"/>
      <c r="GME50" s="162"/>
      <c r="GMF50" s="162"/>
      <c r="GMG50" s="162"/>
      <c r="GMH50" s="162"/>
      <c r="GMI50" s="162"/>
      <c r="GMJ50" s="162"/>
      <c r="GMK50" s="162"/>
      <c r="GML50" s="162"/>
      <c r="GMM50" s="162"/>
      <c r="GMN50" s="162"/>
      <c r="GMO50" s="162"/>
      <c r="GMP50" s="162"/>
      <c r="GMQ50" s="162"/>
      <c r="GMR50" s="162"/>
      <c r="GMS50" s="162"/>
      <c r="GMT50" s="162"/>
      <c r="GMU50" s="162"/>
      <c r="GMV50" s="162"/>
      <c r="GMW50" s="162"/>
      <c r="GMX50" s="162"/>
      <c r="GMY50" s="162"/>
      <c r="GMZ50" s="162"/>
      <c r="GNA50" s="162"/>
      <c r="GNB50" s="162"/>
      <c r="GNC50" s="162"/>
      <c r="GND50" s="162"/>
      <c r="GNE50" s="162"/>
      <c r="GNF50" s="162"/>
      <c r="GNG50" s="162"/>
      <c r="GNH50" s="162"/>
      <c r="GNI50" s="162"/>
      <c r="GNJ50" s="162"/>
      <c r="GNK50" s="162"/>
      <c r="GNL50" s="162"/>
      <c r="GNM50" s="162"/>
      <c r="GNN50" s="162"/>
      <c r="GNO50" s="162"/>
      <c r="GNP50" s="162"/>
      <c r="GNQ50" s="162"/>
      <c r="GNR50" s="162"/>
      <c r="GNS50" s="162"/>
      <c r="GNT50" s="162"/>
      <c r="GNU50" s="162"/>
      <c r="GNV50" s="162"/>
      <c r="GNW50" s="162"/>
      <c r="GNX50" s="162"/>
      <c r="GNY50" s="162"/>
      <c r="GNZ50" s="162"/>
      <c r="GOA50" s="162"/>
      <c r="GOB50" s="162"/>
      <c r="GOC50" s="162"/>
      <c r="GOD50" s="162"/>
      <c r="GOE50" s="162"/>
      <c r="GOF50" s="162"/>
      <c r="GOG50" s="162"/>
      <c r="GOH50" s="162"/>
      <c r="GOI50" s="162"/>
      <c r="GOJ50" s="162"/>
      <c r="GOK50" s="162"/>
      <c r="GOL50" s="162"/>
      <c r="GOM50" s="162"/>
      <c r="GON50" s="162"/>
      <c r="GOO50" s="162"/>
      <c r="GOP50" s="162"/>
      <c r="GOQ50" s="162"/>
      <c r="GOR50" s="162"/>
      <c r="GOS50" s="162"/>
      <c r="GOT50" s="162"/>
      <c r="GOU50" s="162"/>
      <c r="GOV50" s="162"/>
      <c r="GOW50" s="162"/>
      <c r="GOX50" s="162"/>
      <c r="GOY50" s="162"/>
      <c r="GOZ50" s="162"/>
      <c r="GPA50" s="162"/>
      <c r="GPB50" s="162"/>
      <c r="GPC50" s="162"/>
      <c r="GPD50" s="162"/>
      <c r="GPE50" s="162"/>
      <c r="GPF50" s="162"/>
      <c r="GPG50" s="162"/>
      <c r="GPH50" s="162"/>
      <c r="GPI50" s="162"/>
      <c r="GPJ50" s="162"/>
      <c r="GPK50" s="162"/>
      <c r="GPL50" s="162"/>
      <c r="GPM50" s="162"/>
      <c r="GPN50" s="162"/>
      <c r="GPO50" s="162"/>
      <c r="GPP50" s="162"/>
      <c r="GPQ50" s="162"/>
      <c r="GPR50" s="162"/>
      <c r="GPS50" s="162"/>
      <c r="GPT50" s="162"/>
      <c r="GPU50" s="162"/>
      <c r="GPV50" s="162"/>
      <c r="GPW50" s="162"/>
      <c r="GPX50" s="162"/>
      <c r="GPY50" s="162"/>
      <c r="GPZ50" s="162"/>
      <c r="GQA50" s="162"/>
      <c r="GQB50" s="162"/>
      <c r="GQC50" s="162"/>
      <c r="GQD50" s="162"/>
      <c r="GQE50" s="162"/>
      <c r="GQF50" s="162"/>
      <c r="GQG50" s="162"/>
      <c r="GQH50" s="162"/>
      <c r="GQI50" s="162"/>
      <c r="GQJ50" s="162"/>
      <c r="GQK50" s="162"/>
      <c r="GQL50" s="162"/>
      <c r="GQM50" s="162"/>
      <c r="GQN50" s="162"/>
      <c r="GQO50" s="162"/>
      <c r="GQP50" s="162"/>
      <c r="GQQ50" s="162"/>
      <c r="GQR50" s="162"/>
      <c r="GQS50" s="162"/>
      <c r="GQT50" s="162"/>
      <c r="GQU50" s="162"/>
      <c r="GQV50" s="162"/>
      <c r="GQW50" s="162"/>
      <c r="GQX50" s="162"/>
      <c r="GQY50" s="162"/>
      <c r="GQZ50" s="162"/>
      <c r="GRA50" s="162"/>
      <c r="GRB50" s="162"/>
      <c r="GRC50" s="162"/>
      <c r="GRD50" s="162"/>
      <c r="GRE50" s="162"/>
      <c r="GRF50" s="162"/>
      <c r="GRG50" s="162"/>
      <c r="GRH50" s="162"/>
      <c r="GRI50" s="162"/>
      <c r="GRJ50" s="162"/>
      <c r="GRK50" s="162"/>
      <c r="GRL50" s="162"/>
      <c r="GRM50" s="162"/>
      <c r="GRN50" s="162"/>
      <c r="GRO50" s="162"/>
      <c r="GRP50" s="162"/>
      <c r="GRQ50" s="162"/>
      <c r="GRR50" s="162"/>
      <c r="GRS50" s="162"/>
      <c r="GRT50" s="162"/>
      <c r="GRU50" s="162"/>
      <c r="GRV50" s="162"/>
      <c r="GRW50" s="162"/>
      <c r="GRX50" s="162"/>
      <c r="GRY50" s="162"/>
      <c r="GRZ50" s="162"/>
      <c r="GSA50" s="162"/>
      <c r="GSB50" s="162"/>
      <c r="GSC50" s="162"/>
      <c r="GSD50" s="162"/>
      <c r="GSE50" s="162"/>
      <c r="GSF50" s="162"/>
      <c r="GSG50" s="162"/>
      <c r="GSH50" s="162"/>
      <c r="GSI50" s="162"/>
      <c r="GSJ50" s="162"/>
      <c r="GSK50" s="162"/>
      <c r="GSL50" s="162"/>
      <c r="GSM50" s="162"/>
      <c r="GSN50" s="162"/>
      <c r="GSO50" s="162"/>
      <c r="GSP50" s="162"/>
      <c r="GSQ50" s="162"/>
      <c r="GSR50" s="162"/>
      <c r="GSS50" s="162"/>
      <c r="GST50" s="162"/>
      <c r="GSU50" s="162"/>
      <c r="GSV50" s="162"/>
      <c r="GSW50" s="162"/>
      <c r="GSX50" s="162"/>
      <c r="GSY50" s="162"/>
      <c r="GSZ50" s="162"/>
      <c r="GTA50" s="162"/>
      <c r="GTB50" s="162"/>
      <c r="GTC50" s="162"/>
      <c r="GTD50" s="162"/>
      <c r="GTE50" s="162"/>
      <c r="GTF50" s="162"/>
      <c r="GTG50" s="162"/>
      <c r="GTH50" s="162"/>
      <c r="GTI50" s="162"/>
      <c r="GTJ50" s="162"/>
      <c r="GTK50" s="162"/>
      <c r="GTL50" s="162"/>
      <c r="GTM50" s="162"/>
      <c r="GTN50" s="162"/>
      <c r="GTO50" s="162"/>
      <c r="GTP50" s="162"/>
      <c r="GTQ50" s="162"/>
      <c r="GTR50" s="162"/>
      <c r="GTS50" s="162"/>
      <c r="GTT50" s="162"/>
      <c r="GTU50" s="162"/>
      <c r="GTV50" s="162"/>
      <c r="GTW50" s="162"/>
      <c r="GTX50" s="162"/>
      <c r="GTY50" s="162"/>
      <c r="GTZ50" s="162"/>
      <c r="GUA50" s="162"/>
      <c r="GUB50" s="162"/>
      <c r="GUC50" s="162"/>
      <c r="GUD50" s="162"/>
      <c r="GUE50" s="162"/>
      <c r="GUF50" s="162"/>
      <c r="GUG50" s="162"/>
      <c r="GUH50" s="162"/>
      <c r="GUI50" s="162"/>
      <c r="GUJ50" s="162"/>
      <c r="GUK50" s="162"/>
      <c r="GUL50" s="162"/>
      <c r="GUM50" s="162"/>
      <c r="GUN50" s="162"/>
      <c r="GUO50" s="162"/>
      <c r="GUP50" s="162"/>
      <c r="GUQ50" s="162"/>
      <c r="GUR50" s="162"/>
      <c r="GUS50" s="162"/>
      <c r="GUT50" s="162"/>
      <c r="GUU50" s="162"/>
      <c r="GUV50" s="162"/>
      <c r="GUW50" s="162"/>
      <c r="GUX50" s="162"/>
      <c r="GUY50" s="162"/>
      <c r="GUZ50" s="162"/>
      <c r="GVA50" s="162"/>
      <c r="GVB50" s="162"/>
      <c r="GVC50" s="162"/>
      <c r="GVD50" s="162"/>
      <c r="GVE50" s="162"/>
      <c r="GVF50" s="162"/>
      <c r="GVG50" s="162"/>
      <c r="GVH50" s="162"/>
      <c r="GVI50" s="162"/>
      <c r="GVJ50" s="162"/>
      <c r="GVK50" s="162"/>
      <c r="GVL50" s="162"/>
      <c r="GVM50" s="162"/>
      <c r="GVN50" s="162"/>
      <c r="GVO50" s="162"/>
      <c r="GVP50" s="162"/>
      <c r="GVQ50" s="162"/>
      <c r="GVR50" s="162"/>
      <c r="GVS50" s="162"/>
      <c r="GVT50" s="162"/>
      <c r="GVU50" s="162"/>
      <c r="GVV50" s="162"/>
      <c r="GVW50" s="162"/>
      <c r="GVX50" s="162"/>
      <c r="GVY50" s="162"/>
      <c r="GVZ50" s="162"/>
      <c r="GWA50" s="162"/>
      <c r="GWB50" s="162"/>
      <c r="GWC50" s="162"/>
      <c r="GWD50" s="162"/>
      <c r="GWE50" s="162"/>
      <c r="GWF50" s="162"/>
      <c r="GWG50" s="162"/>
      <c r="GWH50" s="162"/>
      <c r="GWI50" s="162"/>
      <c r="GWJ50" s="162"/>
      <c r="GWK50" s="162"/>
      <c r="GWL50" s="162"/>
      <c r="GWM50" s="162"/>
      <c r="GWN50" s="162"/>
      <c r="GWO50" s="162"/>
      <c r="GWP50" s="162"/>
      <c r="GWQ50" s="162"/>
      <c r="GWR50" s="162"/>
      <c r="GWS50" s="162"/>
      <c r="GWT50" s="162"/>
      <c r="GWU50" s="162"/>
      <c r="GWV50" s="162"/>
      <c r="GWW50" s="162"/>
      <c r="GWX50" s="162"/>
      <c r="GWY50" s="162"/>
      <c r="GWZ50" s="162"/>
      <c r="GXA50" s="162"/>
      <c r="GXB50" s="162"/>
      <c r="GXC50" s="162"/>
      <c r="GXD50" s="162"/>
      <c r="GXE50" s="162"/>
      <c r="GXF50" s="162"/>
      <c r="GXG50" s="162"/>
      <c r="GXH50" s="162"/>
      <c r="GXI50" s="162"/>
      <c r="GXJ50" s="162"/>
      <c r="GXK50" s="162"/>
      <c r="GXL50" s="162"/>
      <c r="GXM50" s="162"/>
      <c r="GXN50" s="162"/>
      <c r="GXO50" s="162"/>
      <c r="GXP50" s="162"/>
      <c r="GXQ50" s="162"/>
      <c r="GXR50" s="162"/>
      <c r="GXS50" s="162"/>
      <c r="GXT50" s="162"/>
      <c r="GXU50" s="162"/>
      <c r="GXV50" s="162"/>
      <c r="GXW50" s="162"/>
      <c r="GXX50" s="162"/>
      <c r="GXY50" s="162"/>
      <c r="GXZ50" s="162"/>
      <c r="GYA50" s="162"/>
      <c r="GYB50" s="162"/>
      <c r="GYC50" s="162"/>
      <c r="GYD50" s="162"/>
      <c r="GYE50" s="162"/>
      <c r="GYF50" s="162"/>
      <c r="GYG50" s="162"/>
      <c r="GYH50" s="162"/>
      <c r="GYI50" s="162"/>
      <c r="GYJ50" s="162"/>
      <c r="GYK50" s="162"/>
      <c r="GYL50" s="162"/>
      <c r="GYM50" s="162"/>
      <c r="GYN50" s="162"/>
      <c r="GYO50" s="162"/>
      <c r="GYP50" s="162"/>
      <c r="GYQ50" s="162"/>
      <c r="GYR50" s="162"/>
      <c r="GYS50" s="162"/>
      <c r="GYT50" s="162"/>
      <c r="GYU50" s="162"/>
      <c r="GYV50" s="162"/>
      <c r="GYW50" s="162"/>
      <c r="GYX50" s="162"/>
      <c r="GYY50" s="162"/>
      <c r="GYZ50" s="162"/>
      <c r="GZA50" s="162"/>
      <c r="GZB50" s="162"/>
      <c r="GZC50" s="162"/>
      <c r="GZD50" s="162"/>
      <c r="GZE50" s="162"/>
      <c r="GZF50" s="162"/>
      <c r="GZG50" s="162"/>
      <c r="GZH50" s="162"/>
      <c r="GZI50" s="162"/>
      <c r="GZJ50" s="162"/>
      <c r="GZK50" s="162"/>
      <c r="GZL50" s="162"/>
      <c r="GZM50" s="162"/>
      <c r="GZN50" s="162"/>
      <c r="GZO50" s="162"/>
      <c r="GZP50" s="162"/>
      <c r="GZQ50" s="162"/>
      <c r="GZR50" s="162"/>
      <c r="GZS50" s="162"/>
      <c r="GZT50" s="162"/>
      <c r="GZU50" s="162"/>
      <c r="GZV50" s="162"/>
      <c r="GZW50" s="162"/>
      <c r="GZX50" s="162"/>
      <c r="GZY50" s="162"/>
      <c r="GZZ50" s="162"/>
      <c r="HAA50" s="162"/>
      <c r="HAB50" s="162"/>
      <c r="HAC50" s="162"/>
      <c r="HAD50" s="162"/>
      <c r="HAE50" s="162"/>
      <c r="HAF50" s="162"/>
      <c r="HAG50" s="162"/>
      <c r="HAH50" s="162"/>
      <c r="HAI50" s="162"/>
      <c r="HAJ50" s="162"/>
      <c r="HAK50" s="162"/>
      <c r="HAL50" s="162"/>
      <c r="HAM50" s="162"/>
      <c r="HAN50" s="162"/>
      <c r="HAO50" s="162"/>
      <c r="HAP50" s="162"/>
      <c r="HAQ50" s="162"/>
      <c r="HAR50" s="162"/>
      <c r="HAS50" s="162"/>
      <c r="HAT50" s="162"/>
      <c r="HAU50" s="162"/>
      <c r="HAV50" s="162"/>
      <c r="HAW50" s="162"/>
      <c r="HAX50" s="162"/>
      <c r="HAY50" s="162"/>
      <c r="HAZ50" s="162"/>
      <c r="HBA50" s="162"/>
      <c r="HBB50" s="162"/>
      <c r="HBC50" s="162"/>
      <c r="HBD50" s="162"/>
      <c r="HBE50" s="162"/>
      <c r="HBF50" s="162"/>
      <c r="HBG50" s="162"/>
      <c r="HBH50" s="162"/>
      <c r="HBI50" s="162"/>
      <c r="HBJ50" s="162"/>
      <c r="HBK50" s="162"/>
      <c r="HBL50" s="162"/>
      <c r="HBM50" s="162"/>
      <c r="HBN50" s="162"/>
      <c r="HBO50" s="162"/>
      <c r="HBP50" s="162"/>
      <c r="HBQ50" s="162"/>
      <c r="HBR50" s="162"/>
      <c r="HBS50" s="162"/>
      <c r="HBT50" s="162"/>
      <c r="HBU50" s="162"/>
      <c r="HBV50" s="162"/>
      <c r="HBW50" s="162"/>
      <c r="HBX50" s="162"/>
      <c r="HBY50" s="162"/>
      <c r="HBZ50" s="162"/>
      <c r="HCA50" s="162"/>
      <c r="HCB50" s="162"/>
      <c r="HCC50" s="162"/>
      <c r="HCD50" s="162"/>
      <c r="HCE50" s="162"/>
      <c r="HCF50" s="162"/>
      <c r="HCG50" s="162"/>
      <c r="HCH50" s="162"/>
      <c r="HCI50" s="162"/>
      <c r="HCJ50" s="162"/>
      <c r="HCK50" s="162"/>
      <c r="HCL50" s="162"/>
      <c r="HCM50" s="162"/>
      <c r="HCN50" s="162"/>
      <c r="HCO50" s="162"/>
      <c r="HCP50" s="162"/>
      <c r="HCQ50" s="162"/>
      <c r="HCR50" s="162"/>
      <c r="HCS50" s="162"/>
      <c r="HCT50" s="162"/>
      <c r="HCU50" s="162"/>
      <c r="HCV50" s="162"/>
      <c r="HCW50" s="162"/>
      <c r="HCX50" s="162"/>
      <c r="HCY50" s="162"/>
      <c r="HCZ50" s="162"/>
      <c r="HDA50" s="162"/>
      <c r="HDB50" s="162"/>
      <c r="HDC50" s="162"/>
      <c r="HDD50" s="162"/>
      <c r="HDE50" s="162"/>
      <c r="HDF50" s="162"/>
      <c r="HDG50" s="162"/>
      <c r="HDH50" s="162"/>
      <c r="HDI50" s="162"/>
      <c r="HDJ50" s="162"/>
      <c r="HDK50" s="162"/>
      <c r="HDL50" s="162"/>
      <c r="HDM50" s="162"/>
      <c r="HDN50" s="162"/>
      <c r="HDO50" s="162"/>
      <c r="HDP50" s="162"/>
      <c r="HDQ50" s="162"/>
      <c r="HDR50" s="162"/>
      <c r="HDS50" s="162"/>
      <c r="HDT50" s="162"/>
      <c r="HDU50" s="162"/>
      <c r="HDV50" s="162"/>
      <c r="HDW50" s="162"/>
      <c r="HDX50" s="162"/>
      <c r="HDY50" s="162"/>
      <c r="HDZ50" s="162"/>
      <c r="HEA50" s="162"/>
      <c r="HEB50" s="162"/>
      <c r="HEC50" s="162"/>
      <c r="HED50" s="162"/>
      <c r="HEE50" s="162"/>
      <c r="HEF50" s="162"/>
      <c r="HEG50" s="162"/>
      <c r="HEH50" s="162"/>
      <c r="HEI50" s="162"/>
      <c r="HEJ50" s="162"/>
      <c r="HEK50" s="162"/>
      <c r="HEL50" s="162"/>
      <c r="HEM50" s="162"/>
      <c r="HEN50" s="162"/>
      <c r="HEO50" s="162"/>
      <c r="HEP50" s="162"/>
      <c r="HEQ50" s="162"/>
      <c r="HER50" s="162"/>
      <c r="HES50" s="162"/>
      <c r="HET50" s="162"/>
      <c r="HEU50" s="162"/>
      <c r="HEV50" s="162"/>
      <c r="HEW50" s="162"/>
      <c r="HEX50" s="162"/>
      <c r="HEY50" s="162"/>
      <c r="HEZ50" s="162"/>
      <c r="HFA50" s="162"/>
      <c r="HFB50" s="162"/>
      <c r="HFC50" s="162"/>
      <c r="HFD50" s="162"/>
      <c r="HFE50" s="162"/>
      <c r="HFF50" s="162"/>
      <c r="HFG50" s="162"/>
      <c r="HFH50" s="162"/>
      <c r="HFI50" s="162"/>
      <c r="HFJ50" s="162"/>
      <c r="HFK50" s="162"/>
      <c r="HFL50" s="162"/>
      <c r="HFM50" s="162"/>
      <c r="HFN50" s="162"/>
      <c r="HFO50" s="162"/>
      <c r="HFP50" s="162"/>
      <c r="HFQ50" s="162"/>
      <c r="HFR50" s="162"/>
      <c r="HFS50" s="162"/>
      <c r="HFT50" s="162"/>
      <c r="HFU50" s="162"/>
      <c r="HFV50" s="162"/>
      <c r="HFW50" s="162"/>
      <c r="HFX50" s="162"/>
      <c r="HFY50" s="162"/>
      <c r="HFZ50" s="162"/>
      <c r="HGA50" s="162"/>
      <c r="HGB50" s="162"/>
      <c r="HGC50" s="162"/>
      <c r="HGD50" s="162"/>
      <c r="HGE50" s="162"/>
      <c r="HGF50" s="162"/>
      <c r="HGG50" s="162"/>
      <c r="HGH50" s="162"/>
      <c r="HGI50" s="162"/>
      <c r="HGJ50" s="162"/>
      <c r="HGK50" s="162"/>
      <c r="HGL50" s="162"/>
      <c r="HGM50" s="162"/>
      <c r="HGN50" s="162"/>
      <c r="HGO50" s="162"/>
      <c r="HGP50" s="162"/>
      <c r="HGQ50" s="162"/>
      <c r="HGR50" s="162"/>
      <c r="HGS50" s="162"/>
      <c r="HGT50" s="162"/>
      <c r="HGU50" s="162"/>
      <c r="HGV50" s="162"/>
      <c r="HGW50" s="162"/>
      <c r="HGX50" s="162"/>
      <c r="HGY50" s="162"/>
      <c r="HGZ50" s="162"/>
      <c r="HHA50" s="162"/>
      <c r="HHB50" s="162"/>
      <c r="HHC50" s="162"/>
      <c r="HHD50" s="162"/>
      <c r="HHE50" s="162"/>
      <c r="HHF50" s="162"/>
      <c r="HHG50" s="162"/>
      <c r="HHH50" s="162"/>
      <c r="HHI50" s="162"/>
      <c r="HHJ50" s="162"/>
      <c r="HHK50" s="162"/>
      <c r="HHL50" s="162"/>
      <c r="HHM50" s="162"/>
      <c r="HHN50" s="162"/>
      <c r="HHO50" s="162"/>
      <c r="HHP50" s="162"/>
      <c r="HHQ50" s="162"/>
      <c r="HHR50" s="162"/>
      <c r="HHS50" s="162"/>
      <c r="HHT50" s="162"/>
      <c r="HHU50" s="162"/>
      <c r="HHV50" s="162"/>
      <c r="HHW50" s="162"/>
      <c r="HHX50" s="162"/>
      <c r="HHY50" s="162"/>
      <c r="HHZ50" s="162"/>
      <c r="HIA50" s="162"/>
      <c r="HIB50" s="162"/>
      <c r="HIC50" s="162"/>
      <c r="HID50" s="162"/>
      <c r="HIE50" s="162"/>
      <c r="HIF50" s="162"/>
      <c r="HIG50" s="162"/>
      <c r="HIH50" s="162"/>
      <c r="HII50" s="162"/>
      <c r="HIJ50" s="162"/>
      <c r="HIK50" s="162"/>
      <c r="HIL50" s="162"/>
      <c r="HIM50" s="162"/>
      <c r="HIN50" s="162"/>
      <c r="HIO50" s="162"/>
      <c r="HIP50" s="162"/>
      <c r="HIQ50" s="162"/>
      <c r="HIR50" s="162"/>
      <c r="HIS50" s="162"/>
      <c r="HIT50" s="162"/>
      <c r="HIU50" s="162"/>
      <c r="HIV50" s="162"/>
      <c r="HIW50" s="162"/>
      <c r="HIX50" s="162"/>
      <c r="HIY50" s="162"/>
      <c r="HIZ50" s="162"/>
      <c r="HJA50" s="162"/>
      <c r="HJB50" s="162"/>
      <c r="HJC50" s="162"/>
      <c r="HJD50" s="162"/>
      <c r="HJE50" s="162"/>
      <c r="HJF50" s="162"/>
      <c r="HJG50" s="162"/>
      <c r="HJH50" s="162"/>
      <c r="HJI50" s="162"/>
      <c r="HJJ50" s="162"/>
      <c r="HJK50" s="162"/>
      <c r="HJL50" s="162"/>
      <c r="HJM50" s="162"/>
      <c r="HJN50" s="162"/>
      <c r="HJO50" s="162"/>
      <c r="HJP50" s="162"/>
      <c r="HJQ50" s="162"/>
      <c r="HJR50" s="162"/>
      <c r="HJS50" s="162"/>
      <c r="HJT50" s="162"/>
      <c r="HJU50" s="162"/>
      <c r="HJV50" s="162"/>
      <c r="HJW50" s="162"/>
      <c r="HJX50" s="162"/>
      <c r="HJY50" s="162"/>
      <c r="HJZ50" s="162"/>
      <c r="HKA50" s="162"/>
      <c r="HKB50" s="162"/>
      <c r="HKC50" s="162"/>
      <c r="HKD50" s="162"/>
      <c r="HKE50" s="162"/>
      <c r="HKF50" s="162"/>
      <c r="HKG50" s="162"/>
      <c r="HKH50" s="162"/>
      <c r="HKI50" s="162"/>
      <c r="HKJ50" s="162"/>
      <c r="HKK50" s="162"/>
      <c r="HKL50" s="162"/>
      <c r="HKM50" s="162"/>
      <c r="HKN50" s="162"/>
      <c r="HKO50" s="162"/>
      <c r="HKP50" s="162"/>
      <c r="HKQ50" s="162"/>
      <c r="HKR50" s="162"/>
      <c r="HKS50" s="162"/>
      <c r="HKT50" s="162"/>
      <c r="HKU50" s="162"/>
      <c r="HKV50" s="162"/>
      <c r="HKW50" s="162"/>
      <c r="HKX50" s="162"/>
      <c r="HKY50" s="162"/>
      <c r="HKZ50" s="162"/>
      <c r="HLA50" s="162"/>
      <c r="HLB50" s="162"/>
      <c r="HLC50" s="162"/>
      <c r="HLD50" s="162"/>
      <c r="HLE50" s="162"/>
      <c r="HLF50" s="162"/>
      <c r="HLG50" s="162"/>
      <c r="HLH50" s="162"/>
      <c r="HLI50" s="162"/>
      <c r="HLJ50" s="162"/>
      <c r="HLK50" s="162"/>
      <c r="HLL50" s="162"/>
      <c r="HLM50" s="162"/>
      <c r="HLN50" s="162"/>
      <c r="HLO50" s="162"/>
      <c r="HLP50" s="162"/>
      <c r="HLQ50" s="162"/>
      <c r="HLR50" s="162"/>
      <c r="HLS50" s="162"/>
      <c r="HLT50" s="162"/>
      <c r="HLU50" s="162"/>
      <c r="HLV50" s="162"/>
      <c r="HLW50" s="162"/>
      <c r="HLX50" s="162"/>
      <c r="HLY50" s="162"/>
      <c r="HLZ50" s="162"/>
      <c r="HMA50" s="162"/>
      <c r="HMB50" s="162"/>
      <c r="HMC50" s="162"/>
      <c r="HMD50" s="162"/>
      <c r="HME50" s="162"/>
      <c r="HMF50" s="162"/>
      <c r="HMG50" s="162"/>
      <c r="HMH50" s="162"/>
      <c r="HMI50" s="162"/>
      <c r="HMJ50" s="162"/>
      <c r="HMK50" s="162"/>
      <c r="HML50" s="162"/>
      <c r="HMM50" s="162"/>
      <c r="HMN50" s="162"/>
      <c r="HMO50" s="162"/>
      <c r="HMP50" s="162"/>
      <c r="HMQ50" s="162"/>
      <c r="HMR50" s="162"/>
      <c r="HMS50" s="162"/>
      <c r="HMT50" s="162"/>
      <c r="HMU50" s="162"/>
      <c r="HMV50" s="162"/>
      <c r="HMW50" s="162"/>
      <c r="HMX50" s="162"/>
      <c r="HMY50" s="162"/>
      <c r="HMZ50" s="162"/>
      <c r="HNA50" s="162"/>
      <c r="HNB50" s="162"/>
      <c r="HNC50" s="162"/>
      <c r="HND50" s="162"/>
      <c r="HNE50" s="162"/>
      <c r="HNF50" s="162"/>
      <c r="HNG50" s="162"/>
      <c r="HNH50" s="162"/>
      <c r="HNI50" s="162"/>
      <c r="HNJ50" s="162"/>
      <c r="HNK50" s="162"/>
      <c r="HNL50" s="162"/>
      <c r="HNM50" s="162"/>
      <c r="HNN50" s="162"/>
      <c r="HNO50" s="162"/>
      <c r="HNP50" s="162"/>
      <c r="HNQ50" s="162"/>
      <c r="HNR50" s="162"/>
      <c r="HNS50" s="162"/>
      <c r="HNT50" s="162"/>
      <c r="HNU50" s="162"/>
      <c r="HNV50" s="162"/>
      <c r="HNW50" s="162"/>
      <c r="HNX50" s="162"/>
      <c r="HNY50" s="162"/>
      <c r="HNZ50" s="162"/>
      <c r="HOA50" s="162"/>
      <c r="HOB50" s="162"/>
      <c r="HOC50" s="162"/>
      <c r="HOD50" s="162"/>
      <c r="HOE50" s="162"/>
      <c r="HOF50" s="162"/>
      <c r="HOG50" s="162"/>
      <c r="HOH50" s="162"/>
      <c r="HOI50" s="162"/>
      <c r="HOJ50" s="162"/>
      <c r="HOK50" s="162"/>
      <c r="HOL50" s="162"/>
      <c r="HOM50" s="162"/>
      <c r="HON50" s="162"/>
      <c r="HOO50" s="162"/>
      <c r="HOP50" s="162"/>
      <c r="HOQ50" s="162"/>
      <c r="HOR50" s="162"/>
      <c r="HOS50" s="162"/>
      <c r="HOT50" s="162"/>
      <c r="HOU50" s="162"/>
      <c r="HOV50" s="162"/>
      <c r="HOW50" s="162"/>
      <c r="HOX50" s="162"/>
      <c r="HOY50" s="162"/>
      <c r="HOZ50" s="162"/>
      <c r="HPA50" s="162"/>
      <c r="HPB50" s="162"/>
      <c r="HPC50" s="162"/>
      <c r="HPD50" s="162"/>
      <c r="HPE50" s="162"/>
      <c r="HPF50" s="162"/>
      <c r="HPG50" s="162"/>
      <c r="HPH50" s="162"/>
      <c r="HPI50" s="162"/>
      <c r="HPJ50" s="162"/>
      <c r="HPK50" s="162"/>
      <c r="HPL50" s="162"/>
      <c r="HPM50" s="162"/>
      <c r="HPN50" s="162"/>
      <c r="HPO50" s="162"/>
      <c r="HPP50" s="162"/>
      <c r="HPQ50" s="162"/>
      <c r="HPR50" s="162"/>
      <c r="HPS50" s="162"/>
      <c r="HPT50" s="162"/>
      <c r="HPU50" s="162"/>
      <c r="HPV50" s="162"/>
      <c r="HPW50" s="162"/>
      <c r="HPX50" s="162"/>
      <c r="HPY50" s="162"/>
      <c r="HPZ50" s="162"/>
      <c r="HQA50" s="162"/>
      <c r="HQB50" s="162"/>
      <c r="HQC50" s="162"/>
      <c r="HQD50" s="162"/>
      <c r="HQE50" s="162"/>
      <c r="HQF50" s="162"/>
      <c r="HQG50" s="162"/>
      <c r="HQH50" s="162"/>
      <c r="HQI50" s="162"/>
      <c r="HQJ50" s="162"/>
      <c r="HQK50" s="162"/>
      <c r="HQL50" s="162"/>
      <c r="HQM50" s="162"/>
      <c r="HQN50" s="162"/>
      <c r="HQO50" s="162"/>
      <c r="HQP50" s="162"/>
      <c r="HQQ50" s="162"/>
      <c r="HQR50" s="162"/>
      <c r="HQS50" s="162"/>
      <c r="HQT50" s="162"/>
      <c r="HQU50" s="162"/>
      <c r="HQV50" s="162"/>
      <c r="HQW50" s="162"/>
      <c r="HQX50" s="162"/>
      <c r="HQY50" s="162"/>
      <c r="HQZ50" s="162"/>
      <c r="HRA50" s="162"/>
      <c r="HRB50" s="162"/>
      <c r="HRC50" s="162"/>
      <c r="HRD50" s="162"/>
      <c r="HRE50" s="162"/>
      <c r="HRF50" s="162"/>
      <c r="HRG50" s="162"/>
      <c r="HRH50" s="162"/>
      <c r="HRI50" s="162"/>
      <c r="HRJ50" s="162"/>
      <c r="HRK50" s="162"/>
      <c r="HRL50" s="162"/>
      <c r="HRM50" s="162"/>
      <c r="HRN50" s="162"/>
      <c r="HRO50" s="162"/>
      <c r="HRP50" s="162"/>
      <c r="HRQ50" s="162"/>
      <c r="HRR50" s="162"/>
      <c r="HRS50" s="162"/>
      <c r="HRT50" s="162"/>
      <c r="HRU50" s="162"/>
      <c r="HRV50" s="162"/>
      <c r="HRW50" s="162"/>
      <c r="HRX50" s="162"/>
      <c r="HRY50" s="162"/>
      <c r="HRZ50" s="162"/>
      <c r="HSA50" s="162"/>
      <c r="HSB50" s="162"/>
      <c r="HSC50" s="162"/>
      <c r="HSD50" s="162"/>
      <c r="HSE50" s="162"/>
      <c r="HSF50" s="162"/>
      <c r="HSG50" s="162"/>
      <c r="HSH50" s="162"/>
      <c r="HSI50" s="162"/>
      <c r="HSJ50" s="162"/>
      <c r="HSK50" s="162"/>
      <c r="HSL50" s="162"/>
      <c r="HSM50" s="162"/>
      <c r="HSN50" s="162"/>
      <c r="HSO50" s="162"/>
      <c r="HSP50" s="162"/>
      <c r="HSQ50" s="162"/>
      <c r="HSR50" s="162"/>
      <c r="HSS50" s="162"/>
      <c r="HST50" s="162"/>
      <c r="HSU50" s="162"/>
      <c r="HSV50" s="162"/>
      <c r="HSW50" s="162"/>
      <c r="HSX50" s="162"/>
      <c r="HSY50" s="162"/>
      <c r="HSZ50" s="162"/>
      <c r="HTA50" s="162"/>
      <c r="HTB50" s="162"/>
      <c r="HTC50" s="162"/>
      <c r="HTD50" s="162"/>
      <c r="HTE50" s="162"/>
      <c r="HTF50" s="162"/>
      <c r="HTG50" s="162"/>
      <c r="HTH50" s="162"/>
      <c r="HTI50" s="162"/>
      <c r="HTJ50" s="162"/>
      <c r="HTK50" s="162"/>
      <c r="HTL50" s="162"/>
      <c r="HTM50" s="162"/>
      <c r="HTN50" s="162"/>
      <c r="HTO50" s="162"/>
      <c r="HTP50" s="162"/>
      <c r="HTQ50" s="162"/>
      <c r="HTR50" s="162"/>
      <c r="HTS50" s="162"/>
      <c r="HTT50" s="162"/>
      <c r="HTU50" s="162"/>
      <c r="HTV50" s="162"/>
      <c r="HTW50" s="162"/>
      <c r="HTX50" s="162"/>
      <c r="HTY50" s="162"/>
      <c r="HTZ50" s="162"/>
      <c r="HUA50" s="162"/>
      <c r="HUB50" s="162"/>
      <c r="HUC50" s="162"/>
      <c r="HUD50" s="162"/>
      <c r="HUE50" s="162"/>
      <c r="HUF50" s="162"/>
      <c r="HUG50" s="162"/>
      <c r="HUH50" s="162"/>
      <c r="HUI50" s="162"/>
      <c r="HUJ50" s="162"/>
      <c r="HUK50" s="162"/>
      <c r="HUL50" s="162"/>
      <c r="HUM50" s="162"/>
      <c r="HUN50" s="162"/>
      <c r="HUO50" s="162"/>
      <c r="HUP50" s="162"/>
      <c r="HUQ50" s="162"/>
      <c r="HUR50" s="162"/>
      <c r="HUS50" s="162"/>
      <c r="HUT50" s="162"/>
      <c r="HUU50" s="162"/>
      <c r="HUV50" s="162"/>
      <c r="HUW50" s="162"/>
      <c r="HUX50" s="162"/>
      <c r="HUY50" s="162"/>
      <c r="HUZ50" s="162"/>
      <c r="HVA50" s="162"/>
      <c r="HVB50" s="162"/>
      <c r="HVC50" s="162"/>
      <c r="HVD50" s="162"/>
      <c r="HVE50" s="162"/>
      <c r="HVF50" s="162"/>
      <c r="HVG50" s="162"/>
      <c r="HVH50" s="162"/>
      <c r="HVI50" s="162"/>
      <c r="HVJ50" s="162"/>
      <c r="HVK50" s="162"/>
      <c r="HVL50" s="162"/>
      <c r="HVM50" s="162"/>
      <c r="HVN50" s="162"/>
      <c r="HVO50" s="162"/>
      <c r="HVP50" s="162"/>
      <c r="HVQ50" s="162"/>
      <c r="HVR50" s="162"/>
      <c r="HVS50" s="162"/>
      <c r="HVT50" s="162"/>
      <c r="HVU50" s="162"/>
      <c r="HVV50" s="162"/>
      <c r="HVW50" s="162"/>
      <c r="HVX50" s="162"/>
      <c r="HVY50" s="162"/>
      <c r="HVZ50" s="162"/>
      <c r="HWA50" s="162"/>
      <c r="HWB50" s="162"/>
      <c r="HWC50" s="162"/>
      <c r="HWD50" s="162"/>
      <c r="HWE50" s="162"/>
      <c r="HWF50" s="162"/>
      <c r="HWG50" s="162"/>
      <c r="HWH50" s="162"/>
      <c r="HWI50" s="162"/>
      <c r="HWJ50" s="162"/>
      <c r="HWK50" s="162"/>
      <c r="HWL50" s="162"/>
      <c r="HWM50" s="162"/>
      <c r="HWN50" s="162"/>
      <c r="HWO50" s="162"/>
      <c r="HWP50" s="162"/>
      <c r="HWQ50" s="162"/>
      <c r="HWR50" s="162"/>
      <c r="HWS50" s="162"/>
      <c r="HWT50" s="162"/>
      <c r="HWU50" s="162"/>
      <c r="HWV50" s="162"/>
      <c r="HWW50" s="162"/>
      <c r="HWX50" s="162"/>
      <c r="HWY50" s="162"/>
      <c r="HWZ50" s="162"/>
      <c r="HXA50" s="162"/>
      <c r="HXB50" s="162"/>
      <c r="HXC50" s="162"/>
      <c r="HXD50" s="162"/>
      <c r="HXE50" s="162"/>
      <c r="HXF50" s="162"/>
      <c r="HXG50" s="162"/>
      <c r="HXH50" s="162"/>
      <c r="HXI50" s="162"/>
      <c r="HXJ50" s="162"/>
      <c r="HXK50" s="162"/>
      <c r="HXL50" s="162"/>
      <c r="HXM50" s="162"/>
      <c r="HXN50" s="162"/>
      <c r="HXO50" s="162"/>
      <c r="HXP50" s="162"/>
      <c r="HXQ50" s="162"/>
      <c r="HXR50" s="162"/>
      <c r="HXS50" s="162"/>
      <c r="HXT50" s="162"/>
      <c r="HXU50" s="162"/>
      <c r="HXV50" s="162"/>
      <c r="HXW50" s="162"/>
      <c r="HXX50" s="162"/>
      <c r="HXY50" s="162"/>
      <c r="HXZ50" s="162"/>
      <c r="HYA50" s="162"/>
      <c r="HYB50" s="162"/>
      <c r="HYC50" s="162"/>
      <c r="HYD50" s="162"/>
      <c r="HYE50" s="162"/>
      <c r="HYF50" s="162"/>
      <c r="HYG50" s="162"/>
      <c r="HYH50" s="162"/>
      <c r="HYI50" s="162"/>
      <c r="HYJ50" s="162"/>
      <c r="HYK50" s="162"/>
      <c r="HYL50" s="162"/>
      <c r="HYM50" s="162"/>
      <c r="HYN50" s="162"/>
      <c r="HYO50" s="162"/>
      <c r="HYP50" s="162"/>
      <c r="HYQ50" s="162"/>
      <c r="HYR50" s="162"/>
      <c r="HYS50" s="162"/>
      <c r="HYT50" s="162"/>
      <c r="HYU50" s="162"/>
      <c r="HYV50" s="162"/>
      <c r="HYW50" s="162"/>
      <c r="HYX50" s="162"/>
      <c r="HYY50" s="162"/>
      <c r="HYZ50" s="162"/>
      <c r="HZA50" s="162"/>
      <c r="HZB50" s="162"/>
      <c r="HZC50" s="162"/>
      <c r="HZD50" s="162"/>
      <c r="HZE50" s="162"/>
      <c r="HZF50" s="162"/>
      <c r="HZG50" s="162"/>
      <c r="HZH50" s="162"/>
      <c r="HZI50" s="162"/>
      <c r="HZJ50" s="162"/>
      <c r="HZK50" s="162"/>
      <c r="HZL50" s="162"/>
      <c r="HZM50" s="162"/>
      <c r="HZN50" s="162"/>
      <c r="HZO50" s="162"/>
      <c r="HZP50" s="162"/>
      <c r="HZQ50" s="162"/>
      <c r="HZR50" s="162"/>
      <c r="HZS50" s="162"/>
      <c r="HZT50" s="162"/>
      <c r="HZU50" s="162"/>
      <c r="HZV50" s="162"/>
      <c r="HZW50" s="162"/>
      <c r="HZX50" s="162"/>
      <c r="HZY50" s="162"/>
      <c r="HZZ50" s="162"/>
      <c r="IAA50" s="162"/>
      <c r="IAB50" s="162"/>
      <c r="IAC50" s="162"/>
      <c r="IAD50" s="162"/>
      <c r="IAE50" s="162"/>
      <c r="IAF50" s="162"/>
      <c r="IAG50" s="162"/>
      <c r="IAH50" s="162"/>
      <c r="IAI50" s="162"/>
      <c r="IAJ50" s="162"/>
      <c r="IAK50" s="162"/>
      <c r="IAL50" s="162"/>
      <c r="IAM50" s="162"/>
      <c r="IAN50" s="162"/>
      <c r="IAO50" s="162"/>
      <c r="IAP50" s="162"/>
      <c r="IAQ50" s="162"/>
      <c r="IAR50" s="162"/>
      <c r="IAS50" s="162"/>
      <c r="IAT50" s="162"/>
      <c r="IAU50" s="162"/>
      <c r="IAV50" s="162"/>
      <c r="IAW50" s="162"/>
      <c r="IAX50" s="162"/>
      <c r="IAY50" s="162"/>
      <c r="IAZ50" s="162"/>
      <c r="IBA50" s="162"/>
      <c r="IBB50" s="162"/>
      <c r="IBC50" s="162"/>
      <c r="IBD50" s="162"/>
      <c r="IBE50" s="162"/>
      <c r="IBF50" s="162"/>
      <c r="IBG50" s="162"/>
      <c r="IBH50" s="162"/>
      <c r="IBI50" s="162"/>
      <c r="IBJ50" s="162"/>
      <c r="IBK50" s="162"/>
      <c r="IBL50" s="162"/>
      <c r="IBM50" s="162"/>
      <c r="IBN50" s="162"/>
      <c r="IBO50" s="162"/>
      <c r="IBP50" s="162"/>
      <c r="IBQ50" s="162"/>
      <c r="IBR50" s="162"/>
      <c r="IBS50" s="162"/>
      <c r="IBT50" s="162"/>
      <c r="IBU50" s="162"/>
      <c r="IBV50" s="162"/>
      <c r="IBW50" s="162"/>
      <c r="IBX50" s="162"/>
      <c r="IBY50" s="162"/>
      <c r="IBZ50" s="162"/>
      <c r="ICA50" s="162"/>
      <c r="ICB50" s="162"/>
      <c r="ICC50" s="162"/>
      <c r="ICD50" s="162"/>
      <c r="ICE50" s="162"/>
      <c r="ICF50" s="162"/>
      <c r="ICG50" s="162"/>
      <c r="ICH50" s="162"/>
      <c r="ICI50" s="162"/>
      <c r="ICJ50" s="162"/>
      <c r="ICK50" s="162"/>
      <c r="ICL50" s="162"/>
      <c r="ICM50" s="162"/>
      <c r="ICN50" s="162"/>
      <c r="ICO50" s="162"/>
      <c r="ICP50" s="162"/>
      <c r="ICQ50" s="162"/>
      <c r="ICR50" s="162"/>
      <c r="ICS50" s="162"/>
      <c r="ICT50" s="162"/>
      <c r="ICU50" s="162"/>
      <c r="ICV50" s="162"/>
      <c r="ICW50" s="162"/>
      <c r="ICX50" s="162"/>
      <c r="ICY50" s="162"/>
      <c r="ICZ50" s="162"/>
      <c r="IDA50" s="162"/>
      <c r="IDB50" s="162"/>
      <c r="IDC50" s="162"/>
      <c r="IDD50" s="162"/>
      <c r="IDE50" s="162"/>
      <c r="IDF50" s="162"/>
      <c r="IDG50" s="162"/>
      <c r="IDH50" s="162"/>
      <c r="IDI50" s="162"/>
      <c r="IDJ50" s="162"/>
      <c r="IDK50" s="162"/>
      <c r="IDL50" s="162"/>
      <c r="IDM50" s="162"/>
      <c r="IDN50" s="162"/>
      <c r="IDO50" s="162"/>
      <c r="IDP50" s="162"/>
      <c r="IDQ50" s="162"/>
      <c r="IDR50" s="162"/>
      <c r="IDS50" s="162"/>
      <c r="IDT50" s="162"/>
      <c r="IDU50" s="162"/>
      <c r="IDV50" s="162"/>
      <c r="IDW50" s="162"/>
      <c r="IDX50" s="162"/>
      <c r="IDY50" s="162"/>
      <c r="IDZ50" s="162"/>
      <c r="IEA50" s="162"/>
      <c r="IEB50" s="162"/>
      <c r="IEC50" s="162"/>
      <c r="IED50" s="162"/>
      <c r="IEE50" s="162"/>
      <c r="IEF50" s="162"/>
      <c r="IEG50" s="162"/>
      <c r="IEH50" s="162"/>
      <c r="IEI50" s="162"/>
      <c r="IEJ50" s="162"/>
      <c r="IEK50" s="162"/>
      <c r="IEL50" s="162"/>
      <c r="IEM50" s="162"/>
      <c r="IEN50" s="162"/>
      <c r="IEO50" s="162"/>
      <c r="IEP50" s="162"/>
      <c r="IEQ50" s="162"/>
      <c r="IER50" s="162"/>
      <c r="IES50" s="162"/>
      <c r="IET50" s="162"/>
      <c r="IEU50" s="162"/>
      <c r="IEV50" s="162"/>
      <c r="IEW50" s="162"/>
      <c r="IEX50" s="162"/>
      <c r="IEY50" s="162"/>
      <c r="IEZ50" s="162"/>
      <c r="IFA50" s="162"/>
      <c r="IFB50" s="162"/>
      <c r="IFC50" s="162"/>
      <c r="IFD50" s="162"/>
      <c r="IFE50" s="162"/>
      <c r="IFF50" s="162"/>
      <c r="IFG50" s="162"/>
      <c r="IFH50" s="162"/>
      <c r="IFI50" s="162"/>
      <c r="IFJ50" s="162"/>
      <c r="IFK50" s="162"/>
      <c r="IFL50" s="162"/>
      <c r="IFM50" s="162"/>
      <c r="IFN50" s="162"/>
      <c r="IFO50" s="162"/>
      <c r="IFP50" s="162"/>
      <c r="IFQ50" s="162"/>
      <c r="IFR50" s="162"/>
      <c r="IFS50" s="162"/>
      <c r="IFT50" s="162"/>
      <c r="IFU50" s="162"/>
      <c r="IFV50" s="162"/>
      <c r="IFW50" s="162"/>
      <c r="IFX50" s="162"/>
      <c r="IFY50" s="162"/>
      <c r="IFZ50" s="162"/>
      <c r="IGA50" s="162"/>
      <c r="IGB50" s="162"/>
      <c r="IGC50" s="162"/>
      <c r="IGD50" s="162"/>
      <c r="IGE50" s="162"/>
      <c r="IGF50" s="162"/>
      <c r="IGG50" s="162"/>
      <c r="IGH50" s="162"/>
      <c r="IGI50" s="162"/>
      <c r="IGJ50" s="162"/>
      <c r="IGK50" s="162"/>
      <c r="IGL50" s="162"/>
      <c r="IGM50" s="162"/>
      <c r="IGN50" s="162"/>
      <c r="IGO50" s="162"/>
      <c r="IGP50" s="162"/>
      <c r="IGQ50" s="162"/>
      <c r="IGR50" s="162"/>
      <c r="IGS50" s="162"/>
      <c r="IGT50" s="162"/>
      <c r="IGU50" s="162"/>
      <c r="IGV50" s="162"/>
      <c r="IGW50" s="162"/>
      <c r="IGX50" s="162"/>
      <c r="IGY50" s="162"/>
      <c r="IGZ50" s="162"/>
      <c r="IHA50" s="162"/>
      <c r="IHB50" s="162"/>
      <c r="IHC50" s="162"/>
      <c r="IHD50" s="162"/>
      <c r="IHE50" s="162"/>
      <c r="IHF50" s="162"/>
      <c r="IHG50" s="162"/>
      <c r="IHH50" s="162"/>
      <c r="IHI50" s="162"/>
      <c r="IHJ50" s="162"/>
      <c r="IHK50" s="162"/>
      <c r="IHL50" s="162"/>
      <c r="IHM50" s="162"/>
      <c r="IHN50" s="162"/>
      <c r="IHO50" s="162"/>
      <c r="IHP50" s="162"/>
      <c r="IHQ50" s="162"/>
      <c r="IHR50" s="162"/>
      <c r="IHS50" s="162"/>
      <c r="IHT50" s="162"/>
      <c r="IHU50" s="162"/>
      <c r="IHV50" s="162"/>
      <c r="IHW50" s="162"/>
      <c r="IHX50" s="162"/>
      <c r="IHY50" s="162"/>
      <c r="IHZ50" s="162"/>
      <c r="IIA50" s="162"/>
      <c r="IIB50" s="162"/>
      <c r="IIC50" s="162"/>
      <c r="IID50" s="162"/>
      <c r="IIE50" s="162"/>
      <c r="IIF50" s="162"/>
      <c r="IIG50" s="162"/>
      <c r="IIH50" s="162"/>
      <c r="III50" s="162"/>
      <c r="IIJ50" s="162"/>
      <c r="IIK50" s="162"/>
      <c r="IIL50" s="162"/>
      <c r="IIM50" s="162"/>
      <c r="IIN50" s="162"/>
      <c r="IIO50" s="162"/>
      <c r="IIP50" s="162"/>
      <c r="IIQ50" s="162"/>
      <c r="IIR50" s="162"/>
      <c r="IIS50" s="162"/>
      <c r="IIT50" s="162"/>
      <c r="IIU50" s="162"/>
      <c r="IIV50" s="162"/>
      <c r="IIW50" s="162"/>
      <c r="IIX50" s="162"/>
      <c r="IIY50" s="162"/>
      <c r="IIZ50" s="162"/>
      <c r="IJA50" s="162"/>
      <c r="IJB50" s="162"/>
      <c r="IJC50" s="162"/>
      <c r="IJD50" s="162"/>
      <c r="IJE50" s="162"/>
      <c r="IJF50" s="162"/>
      <c r="IJG50" s="162"/>
      <c r="IJH50" s="162"/>
      <c r="IJI50" s="162"/>
      <c r="IJJ50" s="162"/>
      <c r="IJK50" s="162"/>
      <c r="IJL50" s="162"/>
      <c r="IJM50" s="162"/>
      <c r="IJN50" s="162"/>
      <c r="IJO50" s="162"/>
      <c r="IJP50" s="162"/>
      <c r="IJQ50" s="162"/>
      <c r="IJR50" s="162"/>
      <c r="IJS50" s="162"/>
      <c r="IJT50" s="162"/>
      <c r="IJU50" s="162"/>
      <c r="IJV50" s="162"/>
      <c r="IJW50" s="162"/>
      <c r="IJX50" s="162"/>
      <c r="IJY50" s="162"/>
      <c r="IJZ50" s="162"/>
      <c r="IKA50" s="162"/>
      <c r="IKB50" s="162"/>
      <c r="IKC50" s="162"/>
      <c r="IKD50" s="162"/>
      <c r="IKE50" s="162"/>
      <c r="IKF50" s="162"/>
      <c r="IKG50" s="162"/>
      <c r="IKH50" s="162"/>
      <c r="IKI50" s="162"/>
      <c r="IKJ50" s="162"/>
      <c r="IKK50" s="162"/>
      <c r="IKL50" s="162"/>
      <c r="IKM50" s="162"/>
      <c r="IKN50" s="162"/>
      <c r="IKO50" s="162"/>
      <c r="IKP50" s="162"/>
      <c r="IKQ50" s="162"/>
      <c r="IKR50" s="162"/>
      <c r="IKS50" s="162"/>
      <c r="IKT50" s="162"/>
      <c r="IKU50" s="162"/>
      <c r="IKV50" s="162"/>
      <c r="IKW50" s="162"/>
      <c r="IKX50" s="162"/>
      <c r="IKY50" s="162"/>
      <c r="IKZ50" s="162"/>
      <c r="ILA50" s="162"/>
      <c r="ILB50" s="162"/>
      <c r="ILC50" s="162"/>
      <c r="ILD50" s="162"/>
      <c r="ILE50" s="162"/>
      <c r="ILF50" s="162"/>
      <c r="ILG50" s="162"/>
      <c r="ILH50" s="162"/>
      <c r="ILI50" s="162"/>
      <c r="ILJ50" s="162"/>
      <c r="ILK50" s="162"/>
      <c r="ILL50" s="162"/>
      <c r="ILM50" s="162"/>
      <c r="ILN50" s="162"/>
      <c r="ILO50" s="162"/>
      <c r="ILP50" s="162"/>
      <c r="ILQ50" s="162"/>
      <c r="ILR50" s="162"/>
      <c r="ILS50" s="162"/>
      <c r="ILT50" s="162"/>
      <c r="ILU50" s="162"/>
      <c r="ILV50" s="162"/>
      <c r="ILW50" s="162"/>
      <c r="ILX50" s="162"/>
      <c r="ILY50" s="162"/>
      <c r="ILZ50" s="162"/>
      <c r="IMA50" s="162"/>
      <c r="IMB50" s="162"/>
      <c r="IMC50" s="162"/>
      <c r="IMD50" s="162"/>
      <c r="IME50" s="162"/>
      <c r="IMF50" s="162"/>
      <c r="IMG50" s="162"/>
      <c r="IMH50" s="162"/>
      <c r="IMI50" s="162"/>
      <c r="IMJ50" s="162"/>
      <c r="IMK50" s="162"/>
      <c r="IML50" s="162"/>
      <c r="IMM50" s="162"/>
      <c r="IMN50" s="162"/>
      <c r="IMO50" s="162"/>
      <c r="IMP50" s="162"/>
      <c r="IMQ50" s="162"/>
      <c r="IMR50" s="162"/>
      <c r="IMS50" s="162"/>
      <c r="IMT50" s="162"/>
      <c r="IMU50" s="162"/>
      <c r="IMV50" s="162"/>
      <c r="IMW50" s="162"/>
      <c r="IMX50" s="162"/>
      <c r="IMY50" s="162"/>
      <c r="IMZ50" s="162"/>
      <c r="INA50" s="162"/>
      <c r="INB50" s="162"/>
      <c r="INC50" s="162"/>
      <c r="IND50" s="162"/>
      <c r="INE50" s="162"/>
      <c r="INF50" s="162"/>
      <c r="ING50" s="162"/>
      <c r="INH50" s="162"/>
      <c r="INI50" s="162"/>
      <c r="INJ50" s="162"/>
      <c r="INK50" s="162"/>
      <c r="INL50" s="162"/>
      <c r="INM50" s="162"/>
      <c r="INN50" s="162"/>
      <c r="INO50" s="162"/>
      <c r="INP50" s="162"/>
      <c r="INQ50" s="162"/>
      <c r="INR50" s="162"/>
      <c r="INS50" s="162"/>
      <c r="INT50" s="162"/>
      <c r="INU50" s="162"/>
      <c r="INV50" s="162"/>
      <c r="INW50" s="162"/>
      <c r="INX50" s="162"/>
      <c r="INY50" s="162"/>
      <c r="INZ50" s="162"/>
      <c r="IOA50" s="162"/>
      <c r="IOB50" s="162"/>
      <c r="IOC50" s="162"/>
      <c r="IOD50" s="162"/>
      <c r="IOE50" s="162"/>
      <c r="IOF50" s="162"/>
      <c r="IOG50" s="162"/>
      <c r="IOH50" s="162"/>
      <c r="IOI50" s="162"/>
      <c r="IOJ50" s="162"/>
      <c r="IOK50" s="162"/>
      <c r="IOL50" s="162"/>
      <c r="IOM50" s="162"/>
      <c r="ION50" s="162"/>
      <c r="IOO50" s="162"/>
      <c r="IOP50" s="162"/>
      <c r="IOQ50" s="162"/>
      <c r="IOR50" s="162"/>
      <c r="IOS50" s="162"/>
      <c r="IOT50" s="162"/>
      <c r="IOU50" s="162"/>
      <c r="IOV50" s="162"/>
      <c r="IOW50" s="162"/>
      <c r="IOX50" s="162"/>
      <c r="IOY50" s="162"/>
      <c r="IOZ50" s="162"/>
      <c r="IPA50" s="162"/>
      <c r="IPB50" s="162"/>
      <c r="IPC50" s="162"/>
      <c r="IPD50" s="162"/>
      <c r="IPE50" s="162"/>
      <c r="IPF50" s="162"/>
      <c r="IPG50" s="162"/>
      <c r="IPH50" s="162"/>
      <c r="IPI50" s="162"/>
      <c r="IPJ50" s="162"/>
      <c r="IPK50" s="162"/>
      <c r="IPL50" s="162"/>
      <c r="IPM50" s="162"/>
      <c r="IPN50" s="162"/>
      <c r="IPO50" s="162"/>
      <c r="IPP50" s="162"/>
      <c r="IPQ50" s="162"/>
      <c r="IPR50" s="162"/>
      <c r="IPS50" s="162"/>
      <c r="IPT50" s="162"/>
      <c r="IPU50" s="162"/>
      <c r="IPV50" s="162"/>
      <c r="IPW50" s="162"/>
      <c r="IPX50" s="162"/>
      <c r="IPY50" s="162"/>
      <c r="IPZ50" s="162"/>
      <c r="IQA50" s="162"/>
      <c r="IQB50" s="162"/>
      <c r="IQC50" s="162"/>
      <c r="IQD50" s="162"/>
      <c r="IQE50" s="162"/>
      <c r="IQF50" s="162"/>
      <c r="IQG50" s="162"/>
      <c r="IQH50" s="162"/>
      <c r="IQI50" s="162"/>
      <c r="IQJ50" s="162"/>
      <c r="IQK50" s="162"/>
      <c r="IQL50" s="162"/>
      <c r="IQM50" s="162"/>
      <c r="IQN50" s="162"/>
      <c r="IQO50" s="162"/>
      <c r="IQP50" s="162"/>
      <c r="IQQ50" s="162"/>
      <c r="IQR50" s="162"/>
      <c r="IQS50" s="162"/>
      <c r="IQT50" s="162"/>
      <c r="IQU50" s="162"/>
      <c r="IQV50" s="162"/>
      <c r="IQW50" s="162"/>
      <c r="IQX50" s="162"/>
      <c r="IQY50" s="162"/>
      <c r="IQZ50" s="162"/>
      <c r="IRA50" s="162"/>
      <c r="IRB50" s="162"/>
      <c r="IRC50" s="162"/>
      <c r="IRD50" s="162"/>
      <c r="IRE50" s="162"/>
      <c r="IRF50" s="162"/>
      <c r="IRG50" s="162"/>
      <c r="IRH50" s="162"/>
      <c r="IRI50" s="162"/>
      <c r="IRJ50" s="162"/>
      <c r="IRK50" s="162"/>
      <c r="IRL50" s="162"/>
      <c r="IRM50" s="162"/>
      <c r="IRN50" s="162"/>
      <c r="IRO50" s="162"/>
      <c r="IRP50" s="162"/>
      <c r="IRQ50" s="162"/>
      <c r="IRR50" s="162"/>
      <c r="IRS50" s="162"/>
      <c r="IRT50" s="162"/>
      <c r="IRU50" s="162"/>
      <c r="IRV50" s="162"/>
      <c r="IRW50" s="162"/>
      <c r="IRX50" s="162"/>
      <c r="IRY50" s="162"/>
      <c r="IRZ50" s="162"/>
      <c r="ISA50" s="162"/>
      <c r="ISB50" s="162"/>
      <c r="ISC50" s="162"/>
      <c r="ISD50" s="162"/>
      <c r="ISE50" s="162"/>
      <c r="ISF50" s="162"/>
      <c r="ISG50" s="162"/>
      <c r="ISH50" s="162"/>
      <c r="ISI50" s="162"/>
      <c r="ISJ50" s="162"/>
      <c r="ISK50" s="162"/>
      <c r="ISL50" s="162"/>
      <c r="ISM50" s="162"/>
      <c r="ISN50" s="162"/>
      <c r="ISO50" s="162"/>
      <c r="ISP50" s="162"/>
      <c r="ISQ50" s="162"/>
      <c r="ISR50" s="162"/>
      <c r="ISS50" s="162"/>
      <c r="IST50" s="162"/>
      <c r="ISU50" s="162"/>
      <c r="ISV50" s="162"/>
      <c r="ISW50" s="162"/>
      <c r="ISX50" s="162"/>
      <c r="ISY50" s="162"/>
      <c r="ISZ50" s="162"/>
      <c r="ITA50" s="162"/>
      <c r="ITB50" s="162"/>
      <c r="ITC50" s="162"/>
      <c r="ITD50" s="162"/>
      <c r="ITE50" s="162"/>
      <c r="ITF50" s="162"/>
      <c r="ITG50" s="162"/>
      <c r="ITH50" s="162"/>
      <c r="ITI50" s="162"/>
      <c r="ITJ50" s="162"/>
      <c r="ITK50" s="162"/>
      <c r="ITL50" s="162"/>
      <c r="ITM50" s="162"/>
      <c r="ITN50" s="162"/>
      <c r="ITO50" s="162"/>
      <c r="ITP50" s="162"/>
      <c r="ITQ50" s="162"/>
      <c r="ITR50" s="162"/>
      <c r="ITS50" s="162"/>
      <c r="ITT50" s="162"/>
      <c r="ITU50" s="162"/>
      <c r="ITV50" s="162"/>
      <c r="ITW50" s="162"/>
      <c r="ITX50" s="162"/>
      <c r="ITY50" s="162"/>
      <c r="ITZ50" s="162"/>
      <c r="IUA50" s="162"/>
      <c r="IUB50" s="162"/>
      <c r="IUC50" s="162"/>
      <c r="IUD50" s="162"/>
      <c r="IUE50" s="162"/>
      <c r="IUF50" s="162"/>
      <c r="IUG50" s="162"/>
      <c r="IUH50" s="162"/>
      <c r="IUI50" s="162"/>
      <c r="IUJ50" s="162"/>
      <c r="IUK50" s="162"/>
      <c r="IUL50" s="162"/>
      <c r="IUM50" s="162"/>
      <c r="IUN50" s="162"/>
      <c r="IUO50" s="162"/>
      <c r="IUP50" s="162"/>
      <c r="IUQ50" s="162"/>
      <c r="IUR50" s="162"/>
      <c r="IUS50" s="162"/>
      <c r="IUT50" s="162"/>
      <c r="IUU50" s="162"/>
      <c r="IUV50" s="162"/>
      <c r="IUW50" s="162"/>
      <c r="IUX50" s="162"/>
      <c r="IUY50" s="162"/>
      <c r="IUZ50" s="162"/>
      <c r="IVA50" s="162"/>
      <c r="IVB50" s="162"/>
      <c r="IVC50" s="162"/>
      <c r="IVD50" s="162"/>
      <c r="IVE50" s="162"/>
      <c r="IVF50" s="162"/>
      <c r="IVG50" s="162"/>
      <c r="IVH50" s="162"/>
      <c r="IVI50" s="162"/>
      <c r="IVJ50" s="162"/>
      <c r="IVK50" s="162"/>
      <c r="IVL50" s="162"/>
      <c r="IVM50" s="162"/>
      <c r="IVN50" s="162"/>
      <c r="IVO50" s="162"/>
      <c r="IVP50" s="162"/>
      <c r="IVQ50" s="162"/>
      <c r="IVR50" s="162"/>
      <c r="IVS50" s="162"/>
      <c r="IVT50" s="162"/>
      <c r="IVU50" s="162"/>
      <c r="IVV50" s="162"/>
      <c r="IVW50" s="162"/>
      <c r="IVX50" s="162"/>
      <c r="IVY50" s="162"/>
      <c r="IVZ50" s="162"/>
      <c r="IWA50" s="162"/>
      <c r="IWB50" s="162"/>
      <c r="IWC50" s="162"/>
      <c r="IWD50" s="162"/>
      <c r="IWE50" s="162"/>
      <c r="IWF50" s="162"/>
      <c r="IWG50" s="162"/>
      <c r="IWH50" s="162"/>
      <c r="IWI50" s="162"/>
      <c r="IWJ50" s="162"/>
      <c r="IWK50" s="162"/>
      <c r="IWL50" s="162"/>
      <c r="IWM50" s="162"/>
      <c r="IWN50" s="162"/>
      <c r="IWO50" s="162"/>
      <c r="IWP50" s="162"/>
      <c r="IWQ50" s="162"/>
      <c r="IWR50" s="162"/>
      <c r="IWS50" s="162"/>
      <c r="IWT50" s="162"/>
      <c r="IWU50" s="162"/>
      <c r="IWV50" s="162"/>
      <c r="IWW50" s="162"/>
      <c r="IWX50" s="162"/>
      <c r="IWY50" s="162"/>
      <c r="IWZ50" s="162"/>
      <c r="IXA50" s="162"/>
      <c r="IXB50" s="162"/>
      <c r="IXC50" s="162"/>
      <c r="IXD50" s="162"/>
      <c r="IXE50" s="162"/>
      <c r="IXF50" s="162"/>
      <c r="IXG50" s="162"/>
      <c r="IXH50" s="162"/>
      <c r="IXI50" s="162"/>
      <c r="IXJ50" s="162"/>
      <c r="IXK50" s="162"/>
      <c r="IXL50" s="162"/>
      <c r="IXM50" s="162"/>
      <c r="IXN50" s="162"/>
      <c r="IXO50" s="162"/>
      <c r="IXP50" s="162"/>
      <c r="IXQ50" s="162"/>
      <c r="IXR50" s="162"/>
      <c r="IXS50" s="162"/>
      <c r="IXT50" s="162"/>
      <c r="IXU50" s="162"/>
      <c r="IXV50" s="162"/>
      <c r="IXW50" s="162"/>
      <c r="IXX50" s="162"/>
      <c r="IXY50" s="162"/>
      <c r="IXZ50" s="162"/>
      <c r="IYA50" s="162"/>
      <c r="IYB50" s="162"/>
      <c r="IYC50" s="162"/>
      <c r="IYD50" s="162"/>
      <c r="IYE50" s="162"/>
      <c r="IYF50" s="162"/>
      <c r="IYG50" s="162"/>
      <c r="IYH50" s="162"/>
      <c r="IYI50" s="162"/>
      <c r="IYJ50" s="162"/>
      <c r="IYK50" s="162"/>
      <c r="IYL50" s="162"/>
      <c r="IYM50" s="162"/>
      <c r="IYN50" s="162"/>
      <c r="IYO50" s="162"/>
      <c r="IYP50" s="162"/>
      <c r="IYQ50" s="162"/>
      <c r="IYR50" s="162"/>
      <c r="IYS50" s="162"/>
      <c r="IYT50" s="162"/>
      <c r="IYU50" s="162"/>
      <c r="IYV50" s="162"/>
      <c r="IYW50" s="162"/>
      <c r="IYX50" s="162"/>
      <c r="IYY50" s="162"/>
      <c r="IYZ50" s="162"/>
      <c r="IZA50" s="162"/>
      <c r="IZB50" s="162"/>
      <c r="IZC50" s="162"/>
      <c r="IZD50" s="162"/>
      <c r="IZE50" s="162"/>
      <c r="IZF50" s="162"/>
      <c r="IZG50" s="162"/>
      <c r="IZH50" s="162"/>
      <c r="IZI50" s="162"/>
      <c r="IZJ50" s="162"/>
      <c r="IZK50" s="162"/>
      <c r="IZL50" s="162"/>
      <c r="IZM50" s="162"/>
      <c r="IZN50" s="162"/>
      <c r="IZO50" s="162"/>
      <c r="IZP50" s="162"/>
      <c r="IZQ50" s="162"/>
      <c r="IZR50" s="162"/>
      <c r="IZS50" s="162"/>
      <c r="IZT50" s="162"/>
      <c r="IZU50" s="162"/>
      <c r="IZV50" s="162"/>
      <c r="IZW50" s="162"/>
      <c r="IZX50" s="162"/>
      <c r="IZY50" s="162"/>
      <c r="IZZ50" s="162"/>
      <c r="JAA50" s="162"/>
      <c r="JAB50" s="162"/>
      <c r="JAC50" s="162"/>
      <c r="JAD50" s="162"/>
      <c r="JAE50" s="162"/>
      <c r="JAF50" s="162"/>
      <c r="JAG50" s="162"/>
      <c r="JAH50" s="162"/>
      <c r="JAI50" s="162"/>
      <c r="JAJ50" s="162"/>
      <c r="JAK50" s="162"/>
      <c r="JAL50" s="162"/>
      <c r="JAM50" s="162"/>
      <c r="JAN50" s="162"/>
      <c r="JAO50" s="162"/>
      <c r="JAP50" s="162"/>
      <c r="JAQ50" s="162"/>
      <c r="JAR50" s="162"/>
      <c r="JAS50" s="162"/>
      <c r="JAT50" s="162"/>
      <c r="JAU50" s="162"/>
      <c r="JAV50" s="162"/>
      <c r="JAW50" s="162"/>
      <c r="JAX50" s="162"/>
      <c r="JAY50" s="162"/>
      <c r="JAZ50" s="162"/>
      <c r="JBA50" s="162"/>
      <c r="JBB50" s="162"/>
      <c r="JBC50" s="162"/>
      <c r="JBD50" s="162"/>
      <c r="JBE50" s="162"/>
      <c r="JBF50" s="162"/>
      <c r="JBG50" s="162"/>
      <c r="JBH50" s="162"/>
      <c r="JBI50" s="162"/>
      <c r="JBJ50" s="162"/>
      <c r="JBK50" s="162"/>
      <c r="JBL50" s="162"/>
      <c r="JBM50" s="162"/>
      <c r="JBN50" s="162"/>
      <c r="JBO50" s="162"/>
      <c r="JBP50" s="162"/>
      <c r="JBQ50" s="162"/>
      <c r="JBR50" s="162"/>
      <c r="JBS50" s="162"/>
      <c r="JBT50" s="162"/>
      <c r="JBU50" s="162"/>
      <c r="JBV50" s="162"/>
      <c r="JBW50" s="162"/>
      <c r="JBX50" s="162"/>
      <c r="JBY50" s="162"/>
      <c r="JBZ50" s="162"/>
      <c r="JCA50" s="162"/>
      <c r="JCB50" s="162"/>
      <c r="JCC50" s="162"/>
      <c r="JCD50" s="162"/>
      <c r="JCE50" s="162"/>
      <c r="JCF50" s="162"/>
      <c r="JCG50" s="162"/>
      <c r="JCH50" s="162"/>
      <c r="JCI50" s="162"/>
      <c r="JCJ50" s="162"/>
      <c r="JCK50" s="162"/>
      <c r="JCL50" s="162"/>
      <c r="JCM50" s="162"/>
      <c r="JCN50" s="162"/>
      <c r="JCO50" s="162"/>
      <c r="JCP50" s="162"/>
      <c r="JCQ50" s="162"/>
      <c r="JCR50" s="162"/>
      <c r="JCS50" s="162"/>
      <c r="JCT50" s="162"/>
      <c r="JCU50" s="162"/>
      <c r="JCV50" s="162"/>
      <c r="JCW50" s="162"/>
      <c r="JCX50" s="162"/>
      <c r="JCY50" s="162"/>
      <c r="JCZ50" s="162"/>
      <c r="JDA50" s="162"/>
      <c r="JDB50" s="162"/>
      <c r="JDC50" s="162"/>
      <c r="JDD50" s="162"/>
      <c r="JDE50" s="162"/>
      <c r="JDF50" s="162"/>
      <c r="JDG50" s="162"/>
      <c r="JDH50" s="162"/>
      <c r="JDI50" s="162"/>
      <c r="JDJ50" s="162"/>
      <c r="JDK50" s="162"/>
      <c r="JDL50" s="162"/>
      <c r="JDM50" s="162"/>
      <c r="JDN50" s="162"/>
      <c r="JDO50" s="162"/>
      <c r="JDP50" s="162"/>
      <c r="JDQ50" s="162"/>
      <c r="JDR50" s="162"/>
      <c r="JDS50" s="162"/>
      <c r="JDT50" s="162"/>
      <c r="JDU50" s="162"/>
      <c r="JDV50" s="162"/>
      <c r="JDW50" s="162"/>
      <c r="JDX50" s="162"/>
      <c r="JDY50" s="162"/>
      <c r="JDZ50" s="162"/>
      <c r="JEA50" s="162"/>
      <c r="JEB50" s="162"/>
      <c r="JEC50" s="162"/>
      <c r="JED50" s="162"/>
      <c r="JEE50" s="162"/>
      <c r="JEF50" s="162"/>
      <c r="JEG50" s="162"/>
      <c r="JEH50" s="162"/>
      <c r="JEI50" s="162"/>
      <c r="JEJ50" s="162"/>
      <c r="JEK50" s="162"/>
      <c r="JEL50" s="162"/>
      <c r="JEM50" s="162"/>
      <c r="JEN50" s="162"/>
      <c r="JEO50" s="162"/>
      <c r="JEP50" s="162"/>
      <c r="JEQ50" s="162"/>
      <c r="JER50" s="162"/>
      <c r="JES50" s="162"/>
      <c r="JET50" s="162"/>
      <c r="JEU50" s="162"/>
      <c r="JEV50" s="162"/>
      <c r="JEW50" s="162"/>
      <c r="JEX50" s="162"/>
      <c r="JEY50" s="162"/>
      <c r="JEZ50" s="162"/>
      <c r="JFA50" s="162"/>
      <c r="JFB50" s="162"/>
      <c r="JFC50" s="162"/>
      <c r="JFD50" s="162"/>
      <c r="JFE50" s="162"/>
      <c r="JFF50" s="162"/>
      <c r="JFG50" s="162"/>
      <c r="JFH50" s="162"/>
      <c r="JFI50" s="162"/>
      <c r="JFJ50" s="162"/>
      <c r="JFK50" s="162"/>
      <c r="JFL50" s="162"/>
      <c r="JFM50" s="162"/>
      <c r="JFN50" s="162"/>
      <c r="JFO50" s="162"/>
      <c r="JFP50" s="162"/>
      <c r="JFQ50" s="162"/>
      <c r="JFR50" s="162"/>
      <c r="JFS50" s="162"/>
      <c r="JFT50" s="162"/>
      <c r="JFU50" s="162"/>
      <c r="JFV50" s="162"/>
      <c r="JFW50" s="162"/>
      <c r="JFX50" s="162"/>
      <c r="JFY50" s="162"/>
      <c r="JFZ50" s="162"/>
      <c r="JGA50" s="162"/>
      <c r="JGB50" s="162"/>
      <c r="JGC50" s="162"/>
      <c r="JGD50" s="162"/>
      <c r="JGE50" s="162"/>
      <c r="JGF50" s="162"/>
      <c r="JGG50" s="162"/>
      <c r="JGH50" s="162"/>
      <c r="JGI50" s="162"/>
      <c r="JGJ50" s="162"/>
      <c r="JGK50" s="162"/>
      <c r="JGL50" s="162"/>
      <c r="JGM50" s="162"/>
      <c r="JGN50" s="162"/>
      <c r="JGO50" s="162"/>
      <c r="JGP50" s="162"/>
      <c r="JGQ50" s="162"/>
      <c r="JGR50" s="162"/>
      <c r="JGS50" s="162"/>
      <c r="JGT50" s="162"/>
      <c r="JGU50" s="162"/>
      <c r="JGV50" s="162"/>
      <c r="JGW50" s="162"/>
      <c r="JGX50" s="162"/>
      <c r="JGY50" s="162"/>
      <c r="JGZ50" s="162"/>
      <c r="JHA50" s="162"/>
      <c r="JHB50" s="162"/>
      <c r="JHC50" s="162"/>
      <c r="JHD50" s="162"/>
      <c r="JHE50" s="162"/>
      <c r="JHF50" s="162"/>
      <c r="JHG50" s="162"/>
      <c r="JHH50" s="162"/>
      <c r="JHI50" s="162"/>
      <c r="JHJ50" s="162"/>
      <c r="JHK50" s="162"/>
      <c r="JHL50" s="162"/>
      <c r="JHM50" s="162"/>
      <c r="JHN50" s="162"/>
      <c r="JHO50" s="162"/>
      <c r="JHP50" s="162"/>
      <c r="JHQ50" s="162"/>
      <c r="JHR50" s="162"/>
      <c r="JHS50" s="162"/>
      <c r="JHT50" s="162"/>
      <c r="JHU50" s="162"/>
      <c r="JHV50" s="162"/>
      <c r="JHW50" s="162"/>
      <c r="JHX50" s="162"/>
      <c r="JHY50" s="162"/>
      <c r="JHZ50" s="162"/>
      <c r="JIA50" s="162"/>
      <c r="JIB50" s="162"/>
      <c r="JIC50" s="162"/>
      <c r="JID50" s="162"/>
      <c r="JIE50" s="162"/>
      <c r="JIF50" s="162"/>
      <c r="JIG50" s="162"/>
      <c r="JIH50" s="162"/>
      <c r="JII50" s="162"/>
      <c r="JIJ50" s="162"/>
      <c r="JIK50" s="162"/>
      <c r="JIL50" s="162"/>
      <c r="JIM50" s="162"/>
      <c r="JIN50" s="162"/>
      <c r="JIO50" s="162"/>
      <c r="JIP50" s="162"/>
      <c r="JIQ50" s="162"/>
      <c r="JIR50" s="162"/>
      <c r="JIS50" s="162"/>
      <c r="JIT50" s="162"/>
      <c r="JIU50" s="162"/>
      <c r="JIV50" s="162"/>
      <c r="JIW50" s="162"/>
      <c r="JIX50" s="162"/>
      <c r="JIY50" s="162"/>
      <c r="JIZ50" s="162"/>
      <c r="JJA50" s="162"/>
      <c r="JJB50" s="162"/>
      <c r="JJC50" s="162"/>
      <c r="JJD50" s="162"/>
      <c r="JJE50" s="162"/>
      <c r="JJF50" s="162"/>
      <c r="JJG50" s="162"/>
      <c r="JJH50" s="162"/>
      <c r="JJI50" s="162"/>
      <c r="JJJ50" s="162"/>
      <c r="JJK50" s="162"/>
      <c r="JJL50" s="162"/>
      <c r="JJM50" s="162"/>
      <c r="JJN50" s="162"/>
      <c r="JJO50" s="162"/>
      <c r="JJP50" s="162"/>
      <c r="JJQ50" s="162"/>
      <c r="JJR50" s="162"/>
      <c r="JJS50" s="162"/>
      <c r="JJT50" s="162"/>
      <c r="JJU50" s="162"/>
      <c r="JJV50" s="162"/>
      <c r="JJW50" s="162"/>
      <c r="JJX50" s="162"/>
      <c r="JJY50" s="162"/>
      <c r="JJZ50" s="162"/>
      <c r="JKA50" s="162"/>
      <c r="JKB50" s="162"/>
      <c r="JKC50" s="162"/>
      <c r="JKD50" s="162"/>
      <c r="JKE50" s="162"/>
      <c r="JKF50" s="162"/>
      <c r="JKG50" s="162"/>
      <c r="JKH50" s="162"/>
      <c r="JKI50" s="162"/>
      <c r="JKJ50" s="162"/>
      <c r="JKK50" s="162"/>
      <c r="JKL50" s="162"/>
      <c r="JKM50" s="162"/>
      <c r="JKN50" s="162"/>
      <c r="JKO50" s="162"/>
      <c r="JKP50" s="162"/>
      <c r="JKQ50" s="162"/>
      <c r="JKR50" s="162"/>
      <c r="JKS50" s="162"/>
      <c r="JKT50" s="162"/>
      <c r="JKU50" s="162"/>
      <c r="JKV50" s="162"/>
      <c r="JKW50" s="162"/>
      <c r="JKX50" s="162"/>
      <c r="JKY50" s="162"/>
      <c r="JKZ50" s="162"/>
      <c r="JLA50" s="162"/>
      <c r="JLB50" s="162"/>
      <c r="JLC50" s="162"/>
      <c r="JLD50" s="162"/>
      <c r="JLE50" s="162"/>
      <c r="JLF50" s="162"/>
      <c r="JLG50" s="162"/>
      <c r="JLH50" s="162"/>
      <c r="JLI50" s="162"/>
      <c r="JLJ50" s="162"/>
      <c r="JLK50" s="162"/>
      <c r="JLL50" s="162"/>
      <c r="JLM50" s="162"/>
      <c r="JLN50" s="162"/>
      <c r="JLO50" s="162"/>
      <c r="JLP50" s="162"/>
      <c r="JLQ50" s="162"/>
      <c r="JLR50" s="162"/>
      <c r="JLS50" s="162"/>
      <c r="JLT50" s="162"/>
      <c r="JLU50" s="162"/>
      <c r="JLV50" s="162"/>
      <c r="JLW50" s="162"/>
      <c r="JLX50" s="162"/>
      <c r="JLY50" s="162"/>
      <c r="JLZ50" s="162"/>
      <c r="JMA50" s="162"/>
      <c r="JMB50" s="162"/>
      <c r="JMC50" s="162"/>
      <c r="JMD50" s="162"/>
      <c r="JME50" s="162"/>
      <c r="JMF50" s="162"/>
      <c r="JMG50" s="162"/>
      <c r="JMH50" s="162"/>
      <c r="JMI50" s="162"/>
      <c r="JMJ50" s="162"/>
      <c r="JMK50" s="162"/>
      <c r="JML50" s="162"/>
      <c r="JMM50" s="162"/>
      <c r="JMN50" s="162"/>
      <c r="JMO50" s="162"/>
      <c r="JMP50" s="162"/>
      <c r="JMQ50" s="162"/>
      <c r="JMR50" s="162"/>
      <c r="JMS50" s="162"/>
      <c r="JMT50" s="162"/>
      <c r="JMU50" s="162"/>
      <c r="JMV50" s="162"/>
      <c r="JMW50" s="162"/>
      <c r="JMX50" s="162"/>
      <c r="JMY50" s="162"/>
      <c r="JMZ50" s="162"/>
      <c r="JNA50" s="162"/>
      <c r="JNB50" s="162"/>
      <c r="JNC50" s="162"/>
      <c r="JND50" s="162"/>
      <c r="JNE50" s="162"/>
      <c r="JNF50" s="162"/>
      <c r="JNG50" s="162"/>
      <c r="JNH50" s="162"/>
      <c r="JNI50" s="162"/>
      <c r="JNJ50" s="162"/>
      <c r="JNK50" s="162"/>
      <c r="JNL50" s="162"/>
      <c r="JNM50" s="162"/>
      <c r="JNN50" s="162"/>
      <c r="JNO50" s="162"/>
      <c r="JNP50" s="162"/>
      <c r="JNQ50" s="162"/>
      <c r="JNR50" s="162"/>
      <c r="JNS50" s="162"/>
      <c r="JNT50" s="162"/>
      <c r="JNU50" s="162"/>
      <c r="JNV50" s="162"/>
      <c r="JNW50" s="162"/>
      <c r="JNX50" s="162"/>
      <c r="JNY50" s="162"/>
      <c r="JNZ50" s="162"/>
      <c r="JOA50" s="162"/>
      <c r="JOB50" s="162"/>
      <c r="JOC50" s="162"/>
      <c r="JOD50" s="162"/>
      <c r="JOE50" s="162"/>
      <c r="JOF50" s="162"/>
      <c r="JOG50" s="162"/>
      <c r="JOH50" s="162"/>
      <c r="JOI50" s="162"/>
      <c r="JOJ50" s="162"/>
      <c r="JOK50" s="162"/>
      <c r="JOL50" s="162"/>
      <c r="JOM50" s="162"/>
      <c r="JON50" s="162"/>
      <c r="JOO50" s="162"/>
      <c r="JOP50" s="162"/>
      <c r="JOQ50" s="162"/>
      <c r="JOR50" s="162"/>
      <c r="JOS50" s="162"/>
      <c r="JOT50" s="162"/>
      <c r="JOU50" s="162"/>
      <c r="JOV50" s="162"/>
      <c r="JOW50" s="162"/>
      <c r="JOX50" s="162"/>
      <c r="JOY50" s="162"/>
      <c r="JOZ50" s="162"/>
      <c r="JPA50" s="162"/>
      <c r="JPB50" s="162"/>
      <c r="JPC50" s="162"/>
      <c r="JPD50" s="162"/>
      <c r="JPE50" s="162"/>
      <c r="JPF50" s="162"/>
      <c r="JPG50" s="162"/>
      <c r="JPH50" s="162"/>
      <c r="JPI50" s="162"/>
      <c r="JPJ50" s="162"/>
      <c r="JPK50" s="162"/>
      <c r="JPL50" s="162"/>
      <c r="JPM50" s="162"/>
      <c r="JPN50" s="162"/>
      <c r="JPO50" s="162"/>
      <c r="JPP50" s="162"/>
      <c r="JPQ50" s="162"/>
      <c r="JPR50" s="162"/>
      <c r="JPS50" s="162"/>
      <c r="JPT50" s="162"/>
      <c r="JPU50" s="162"/>
      <c r="JPV50" s="162"/>
      <c r="JPW50" s="162"/>
      <c r="JPX50" s="162"/>
      <c r="JPY50" s="162"/>
      <c r="JPZ50" s="162"/>
      <c r="JQA50" s="162"/>
      <c r="JQB50" s="162"/>
      <c r="JQC50" s="162"/>
      <c r="JQD50" s="162"/>
      <c r="JQE50" s="162"/>
      <c r="JQF50" s="162"/>
      <c r="JQG50" s="162"/>
      <c r="JQH50" s="162"/>
      <c r="JQI50" s="162"/>
      <c r="JQJ50" s="162"/>
      <c r="JQK50" s="162"/>
      <c r="JQL50" s="162"/>
      <c r="JQM50" s="162"/>
      <c r="JQN50" s="162"/>
      <c r="JQO50" s="162"/>
      <c r="JQP50" s="162"/>
      <c r="JQQ50" s="162"/>
      <c r="JQR50" s="162"/>
      <c r="JQS50" s="162"/>
      <c r="JQT50" s="162"/>
      <c r="JQU50" s="162"/>
      <c r="JQV50" s="162"/>
      <c r="JQW50" s="162"/>
      <c r="JQX50" s="162"/>
      <c r="JQY50" s="162"/>
      <c r="JQZ50" s="162"/>
      <c r="JRA50" s="162"/>
      <c r="JRB50" s="162"/>
      <c r="JRC50" s="162"/>
      <c r="JRD50" s="162"/>
      <c r="JRE50" s="162"/>
      <c r="JRF50" s="162"/>
      <c r="JRG50" s="162"/>
      <c r="JRH50" s="162"/>
      <c r="JRI50" s="162"/>
      <c r="JRJ50" s="162"/>
      <c r="JRK50" s="162"/>
      <c r="JRL50" s="162"/>
      <c r="JRM50" s="162"/>
      <c r="JRN50" s="162"/>
      <c r="JRO50" s="162"/>
      <c r="JRP50" s="162"/>
      <c r="JRQ50" s="162"/>
      <c r="JRR50" s="162"/>
      <c r="JRS50" s="162"/>
      <c r="JRT50" s="162"/>
      <c r="JRU50" s="162"/>
      <c r="JRV50" s="162"/>
      <c r="JRW50" s="162"/>
      <c r="JRX50" s="162"/>
      <c r="JRY50" s="162"/>
      <c r="JRZ50" s="162"/>
      <c r="JSA50" s="162"/>
      <c r="JSB50" s="162"/>
      <c r="JSC50" s="162"/>
      <c r="JSD50" s="162"/>
      <c r="JSE50" s="162"/>
      <c r="JSF50" s="162"/>
      <c r="JSG50" s="162"/>
      <c r="JSH50" s="162"/>
      <c r="JSI50" s="162"/>
      <c r="JSJ50" s="162"/>
      <c r="JSK50" s="162"/>
      <c r="JSL50" s="162"/>
      <c r="JSM50" s="162"/>
      <c r="JSN50" s="162"/>
      <c r="JSO50" s="162"/>
      <c r="JSP50" s="162"/>
      <c r="JSQ50" s="162"/>
      <c r="JSR50" s="162"/>
      <c r="JSS50" s="162"/>
      <c r="JST50" s="162"/>
      <c r="JSU50" s="162"/>
      <c r="JSV50" s="162"/>
      <c r="JSW50" s="162"/>
      <c r="JSX50" s="162"/>
      <c r="JSY50" s="162"/>
      <c r="JSZ50" s="162"/>
      <c r="JTA50" s="162"/>
      <c r="JTB50" s="162"/>
      <c r="JTC50" s="162"/>
      <c r="JTD50" s="162"/>
      <c r="JTE50" s="162"/>
      <c r="JTF50" s="162"/>
      <c r="JTG50" s="162"/>
      <c r="JTH50" s="162"/>
      <c r="JTI50" s="162"/>
      <c r="JTJ50" s="162"/>
      <c r="JTK50" s="162"/>
      <c r="JTL50" s="162"/>
      <c r="JTM50" s="162"/>
      <c r="JTN50" s="162"/>
      <c r="JTO50" s="162"/>
      <c r="JTP50" s="162"/>
      <c r="JTQ50" s="162"/>
      <c r="JTR50" s="162"/>
      <c r="JTS50" s="162"/>
      <c r="JTT50" s="162"/>
      <c r="JTU50" s="162"/>
      <c r="JTV50" s="162"/>
      <c r="JTW50" s="162"/>
      <c r="JTX50" s="162"/>
      <c r="JTY50" s="162"/>
      <c r="JTZ50" s="162"/>
      <c r="JUA50" s="162"/>
      <c r="JUB50" s="162"/>
      <c r="JUC50" s="162"/>
      <c r="JUD50" s="162"/>
      <c r="JUE50" s="162"/>
      <c r="JUF50" s="162"/>
      <c r="JUG50" s="162"/>
      <c r="JUH50" s="162"/>
      <c r="JUI50" s="162"/>
      <c r="JUJ50" s="162"/>
      <c r="JUK50" s="162"/>
      <c r="JUL50" s="162"/>
      <c r="JUM50" s="162"/>
      <c r="JUN50" s="162"/>
      <c r="JUO50" s="162"/>
      <c r="JUP50" s="162"/>
      <c r="JUQ50" s="162"/>
      <c r="JUR50" s="162"/>
      <c r="JUS50" s="162"/>
      <c r="JUT50" s="162"/>
      <c r="JUU50" s="162"/>
      <c r="JUV50" s="162"/>
      <c r="JUW50" s="162"/>
      <c r="JUX50" s="162"/>
      <c r="JUY50" s="162"/>
      <c r="JUZ50" s="162"/>
      <c r="JVA50" s="162"/>
      <c r="JVB50" s="162"/>
      <c r="JVC50" s="162"/>
      <c r="JVD50" s="162"/>
      <c r="JVE50" s="162"/>
      <c r="JVF50" s="162"/>
      <c r="JVG50" s="162"/>
      <c r="JVH50" s="162"/>
      <c r="JVI50" s="162"/>
      <c r="JVJ50" s="162"/>
      <c r="JVK50" s="162"/>
      <c r="JVL50" s="162"/>
      <c r="JVM50" s="162"/>
      <c r="JVN50" s="162"/>
      <c r="JVO50" s="162"/>
      <c r="JVP50" s="162"/>
      <c r="JVQ50" s="162"/>
      <c r="JVR50" s="162"/>
      <c r="JVS50" s="162"/>
      <c r="JVT50" s="162"/>
      <c r="JVU50" s="162"/>
      <c r="JVV50" s="162"/>
      <c r="JVW50" s="162"/>
      <c r="JVX50" s="162"/>
      <c r="JVY50" s="162"/>
      <c r="JVZ50" s="162"/>
      <c r="JWA50" s="162"/>
      <c r="JWB50" s="162"/>
      <c r="JWC50" s="162"/>
      <c r="JWD50" s="162"/>
      <c r="JWE50" s="162"/>
      <c r="JWF50" s="162"/>
      <c r="JWG50" s="162"/>
      <c r="JWH50" s="162"/>
      <c r="JWI50" s="162"/>
      <c r="JWJ50" s="162"/>
      <c r="JWK50" s="162"/>
      <c r="JWL50" s="162"/>
      <c r="JWM50" s="162"/>
      <c r="JWN50" s="162"/>
      <c r="JWO50" s="162"/>
      <c r="JWP50" s="162"/>
      <c r="JWQ50" s="162"/>
      <c r="JWR50" s="162"/>
      <c r="JWS50" s="162"/>
      <c r="JWT50" s="162"/>
      <c r="JWU50" s="162"/>
      <c r="JWV50" s="162"/>
      <c r="JWW50" s="162"/>
      <c r="JWX50" s="162"/>
      <c r="JWY50" s="162"/>
      <c r="JWZ50" s="162"/>
      <c r="JXA50" s="162"/>
      <c r="JXB50" s="162"/>
      <c r="JXC50" s="162"/>
      <c r="JXD50" s="162"/>
      <c r="JXE50" s="162"/>
      <c r="JXF50" s="162"/>
      <c r="JXG50" s="162"/>
      <c r="JXH50" s="162"/>
      <c r="JXI50" s="162"/>
      <c r="JXJ50" s="162"/>
      <c r="JXK50" s="162"/>
      <c r="JXL50" s="162"/>
      <c r="JXM50" s="162"/>
      <c r="JXN50" s="162"/>
      <c r="JXO50" s="162"/>
      <c r="JXP50" s="162"/>
      <c r="JXQ50" s="162"/>
      <c r="JXR50" s="162"/>
      <c r="JXS50" s="162"/>
      <c r="JXT50" s="162"/>
      <c r="JXU50" s="162"/>
      <c r="JXV50" s="162"/>
      <c r="JXW50" s="162"/>
      <c r="JXX50" s="162"/>
      <c r="JXY50" s="162"/>
      <c r="JXZ50" s="162"/>
      <c r="JYA50" s="162"/>
      <c r="JYB50" s="162"/>
      <c r="JYC50" s="162"/>
      <c r="JYD50" s="162"/>
      <c r="JYE50" s="162"/>
      <c r="JYF50" s="162"/>
      <c r="JYG50" s="162"/>
      <c r="JYH50" s="162"/>
      <c r="JYI50" s="162"/>
      <c r="JYJ50" s="162"/>
      <c r="JYK50" s="162"/>
      <c r="JYL50" s="162"/>
      <c r="JYM50" s="162"/>
      <c r="JYN50" s="162"/>
      <c r="JYO50" s="162"/>
      <c r="JYP50" s="162"/>
      <c r="JYQ50" s="162"/>
      <c r="JYR50" s="162"/>
      <c r="JYS50" s="162"/>
      <c r="JYT50" s="162"/>
      <c r="JYU50" s="162"/>
      <c r="JYV50" s="162"/>
      <c r="JYW50" s="162"/>
      <c r="JYX50" s="162"/>
      <c r="JYY50" s="162"/>
      <c r="JYZ50" s="162"/>
      <c r="JZA50" s="162"/>
      <c r="JZB50" s="162"/>
      <c r="JZC50" s="162"/>
      <c r="JZD50" s="162"/>
      <c r="JZE50" s="162"/>
      <c r="JZF50" s="162"/>
      <c r="JZG50" s="162"/>
      <c r="JZH50" s="162"/>
      <c r="JZI50" s="162"/>
      <c r="JZJ50" s="162"/>
      <c r="JZK50" s="162"/>
      <c r="JZL50" s="162"/>
      <c r="JZM50" s="162"/>
      <c r="JZN50" s="162"/>
      <c r="JZO50" s="162"/>
      <c r="JZP50" s="162"/>
      <c r="JZQ50" s="162"/>
      <c r="JZR50" s="162"/>
      <c r="JZS50" s="162"/>
      <c r="JZT50" s="162"/>
      <c r="JZU50" s="162"/>
      <c r="JZV50" s="162"/>
      <c r="JZW50" s="162"/>
      <c r="JZX50" s="162"/>
      <c r="JZY50" s="162"/>
      <c r="JZZ50" s="162"/>
      <c r="KAA50" s="162"/>
      <c r="KAB50" s="162"/>
      <c r="KAC50" s="162"/>
      <c r="KAD50" s="162"/>
      <c r="KAE50" s="162"/>
      <c r="KAF50" s="162"/>
      <c r="KAG50" s="162"/>
      <c r="KAH50" s="162"/>
      <c r="KAI50" s="162"/>
      <c r="KAJ50" s="162"/>
      <c r="KAK50" s="162"/>
      <c r="KAL50" s="162"/>
      <c r="KAM50" s="162"/>
      <c r="KAN50" s="162"/>
      <c r="KAO50" s="162"/>
      <c r="KAP50" s="162"/>
      <c r="KAQ50" s="162"/>
      <c r="KAR50" s="162"/>
      <c r="KAS50" s="162"/>
      <c r="KAT50" s="162"/>
      <c r="KAU50" s="162"/>
      <c r="KAV50" s="162"/>
      <c r="KAW50" s="162"/>
      <c r="KAX50" s="162"/>
      <c r="KAY50" s="162"/>
      <c r="KAZ50" s="162"/>
      <c r="KBA50" s="162"/>
      <c r="KBB50" s="162"/>
      <c r="KBC50" s="162"/>
      <c r="KBD50" s="162"/>
      <c r="KBE50" s="162"/>
      <c r="KBF50" s="162"/>
      <c r="KBG50" s="162"/>
      <c r="KBH50" s="162"/>
      <c r="KBI50" s="162"/>
      <c r="KBJ50" s="162"/>
      <c r="KBK50" s="162"/>
      <c r="KBL50" s="162"/>
      <c r="KBM50" s="162"/>
      <c r="KBN50" s="162"/>
      <c r="KBO50" s="162"/>
      <c r="KBP50" s="162"/>
      <c r="KBQ50" s="162"/>
      <c r="KBR50" s="162"/>
      <c r="KBS50" s="162"/>
      <c r="KBT50" s="162"/>
      <c r="KBU50" s="162"/>
      <c r="KBV50" s="162"/>
      <c r="KBW50" s="162"/>
      <c r="KBX50" s="162"/>
      <c r="KBY50" s="162"/>
      <c r="KBZ50" s="162"/>
      <c r="KCA50" s="162"/>
      <c r="KCB50" s="162"/>
      <c r="KCC50" s="162"/>
      <c r="KCD50" s="162"/>
      <c r="KCE50" s="162"/>
      <c r="KCF50" s="162"/>
      <c r="KCG50" s="162"/>
      <c r="KCH50" s="162"/>
      <c r="KCI50" s="162"/>
      <c r="KCJ50" s="162"/>
      <c r="KCK50" s="162"/>
      <c r="KCL50" s="162"/>
      <c r="KCM50" s="162"/>
      <c r="KCN50" s="162"/>
      <c r="KCO50" s="162"/>
      <c r="KCP50" s="162"/>
      <c r="KCQ50" s="162"/>
      <c r="KCR50" s="162"/>
      <c r="KCS50" s="162"/>
      <c r="KCT50" s="162"/>
      <c r="KCU50" s="162"/>
      <c r="KCV50" s="162"/>
      <c r="KCW50" s="162"/>
      <c r="KCX50" s="162"/>
      <c r="KCY50" s="162"/>
      <c r="KCZ50" s="162"/>
      <c r="KDA50" s="162"/>
      <c r="KDB50" s="162"/>
      <c r="KDC50" s="162"/>
      <c r="KDD50" s="162"/>
      <c r="KDE50" s="162"/>
      <c r="KDF50" s="162"/>
      <c r="KDG50" s="162"/>
      <c r="KDH50" s="162"/>
      <c r="KDI50" s="162"/>
      <c r="KDJ50" s="162"/>
      <c r="KDK50" s="162"/>
      <c r="KDL50" s="162"/>
      <c r="KDM50" s="162"/>
      <c r="KDN50" s="162"/>
      <c r="KDO50" s="162"/>
      <c r="KDP50" s="162"/>
      <c r="KDQ50" s="162"/>
      <c r="KDR50" s="162"/>
      <c r="KDS50" s="162"/>
      <c r="KDT50" s="162"/>
      <c r="KDU50" s="162"/>
      <c r="KDV50" s="162"/>
      <c r="KDW50" s="162"/>
      <c r="KDX50" s="162"/>
      <c r="KDY50" s="162"/>
      <c r="KDZ50" s="162"/>
      <c r="KEA50" s="162"/>
      <c r="KEB50" s="162"/>
      <c r="KEC50" s="162"/>
      <c r="KED50" s="162"/>
      <c r="KEE50" s="162"/>
      <c r="KEF50" s="162"/>
      <c r="KEG50" s="162"/>
      <c r="KEH50" s="162"/>
      <c r="KEI50" s="162"/>
      <c r="KEJ50" s="162"/>
      <c r="KEK50" s="162"/>
      <c r="KEL50" s="162"/>
      <c r="KEM50" s="162"/>
      <c r="KEN50" s="162"/>
      <c r="KEO50" s="162"/>
      <c r="KEP50" s="162"/>
      <c r="KEQ50" s="162"/>
      <c r="KER50" s="162"/>
      <c r="KES50" s="162"/>
      <c r="KET50" s="162"/>
      <c r="KEU50" s="162"/>
      <c r="KEV50" s="162"/>
      <c r="KEW50" s="162"/>
      <c r="KEX50" s="162"/>
      <c r="KEY50" s="162"/>
      <c r="KEZ50" s="162"/>
      <c r="KFA50" s="162"/>
      <c r="KFB50" s="162"/>
      <c r="KFC50" s="162"/>
      <c r="KFD50" s="162"/>
      <c r="KFE50" s="162"/>
      <c r="KFF50" s="162"/>
      <c r="KFG50" s="162"/>
      <c r="KFH50" s="162"/>
      <c r="KFI50" s="162"/>
      <c r="KFJ50" s="162"/>
      <c r="KFK50" s="162"/>
      <c r="KFL50" s="162"/>
      <c r="KFM50" s="162"/>
      <c r="KFN50" s="162"/>
      <c r="KFO50" s="162"/>
      <c r="KFP50" s="162"/>
      <c r="KFQ50" s="162"/>
      <c r="KFR50" s="162"/>
      <c r="KFS50" s="162"/>
      <c r="KFT50" s="162"/>
      <c r="KFU50" s="162"/>
      <c r="KFV50" s="162"/>
      <c r="KFW50" s="162"/>
      <c r="KFX50" s="162"/>
      <c r="KFY50" s="162"/>
      <c r="KFZ50" s="162"/>
      <c r="KGA50" s="162"/>
      <c r="KGB50" s="162"/>
      <c r="KGC50" s="162"/>
      <c r="KGD50" s="162"/>
      <c r="KGE50" s="162"/>
      <c r="KGF50" s="162"/>
      <c r="KGG50" s="162"/>
      <c r="KGH50" s="162"/>
      <c r="KGI50" s="162"/>
      <c r="KGJ50" s="162"/>
      <c r="KGK50" s="162"/>
      <c r="KGL50" s="162"/>
      <c r="KGM50" s="162"/>
      <c r="KGN50" s="162"/>
      <c r="KGO50" s="162"/>
      <c r="KGP50" s="162"/>
      <c r="KGQ50" s="162"/>
      <c r="KGR50" s="162"/>
      <c r="KGS50" s="162"/>
      <c r="KGT50" s="162"/>
      <c r="KGU50" s="162"/>
      <c r="KGV50" s="162"/>
      <c r="KGW50" s="162"/>
      <c r="KGX50" s="162"/>
      <c r="KGY50" s="162"/>
      <c r="KGZ50" s="162"/>
      <c r="KHA50" s="162"/>
      <c r="KHB50" s="162"/>
      <c r="KHC50" s="162"/>
      <c r="KHD50" s="162"/>
      <c r="KHE50" s="162"/>
      <c r="KHF50" s="162"/>
      <c r="KHG50" s="162"/>
      <c r="KHH50" s="162"/>
      <c r="KHI50" s="162"/>
      <c r="KHJ50" s="162"/>
      <c r="KHK50" s="162"/>
      <c r="KHL50" s="162"/>
      <c r="KHM50" s="162"/>
      <c r="KHN50" s="162"/>
      <c r="KHO50" s="162"/>
      <c r="KHP50" s="162"/>
      <c r="KHQ50" s="162"/>
      <c r="KHR50" s="162"/>
      <c r="KHS50" s="162"/>
      <c r="KHT50" s="162"/>
      <c r="KHU50" s="162"/>
      <c r="KHV50" s="162"/>
      <c r="KHW50" s="162"/>
      <c r="KHX50" s="162"/>
      <c r="KHY50" s="162"/>
      <c r="KHZ50" s="162"/>
      <c r="KIA50" s="162"/>
      <c r="KIB50" s="162"/>
      <c r="KIC50" s="162"/>
      <c r="KID50" s="162"/>
      <c r="KIE50" s="162"/>
      <c r="KIF50" s="162"/>
      <c r="KIG50" s="162"/>
      <c r="KIH50" s="162"/>
      <c r="KII50" s="162"/>
      <c r="KIJ50" s="162"/>
      <c r="KIK50" s="162"/>
      <c r="KIL50" s="162"/>
      <c r="KIM50" s="162"/>
      <c r="KIN50" s="162"/>
      <c r="KIO50" s="162"/>
      <c r="KIP50" s="162"/>
      <c r="KIQ50" s="162"/>
      <c r="KIR50" s="162"/>
      <c r="KIS50" s="162"/>
      <c r="KIT50" s="162"/>
      <c r="KIU50" s="162"/>
      <c r="KIV50" s="162"/>
      <c r="KIW50" s="162"/>
      <c r="KIX50" s="162"/>
      <c r="KIY50" s="162"/>
      <c r="KIZ50" s="162"/>
      <c r="KJA50" s="162"/>
      <c r="KJB50" s="162"/>
      <c r="KJC50" s="162"/>
      <c r="KJD50" s="162"/>
      <c r="KJE50" s="162"/>
      <c r="KJF50" s="162"/>
      <c r="KJG50" s="162"/>
      <c r="KJH50" s="162"/>
      <c r="KJI50" s="162"/>
      <c r="KJJ50" s="162"/>
      <c r="KJK50" s="162"/>
      <c r="KJL50" s="162"/>
      <c r="KJM50" s="162"/>
      <c r="KJN50" s="162"/>
      <c r="KJO50" s="162"/>
      <c r="KJP50" s="162"/>
      <c r="KJQ50" s="162"/>
      <c r="KJR50" s="162"/>
      <c r="KJS50" s="162"/>
      <c r="KJT50" s="162"/>
      <c r="KJU50" s="162"/>
      <c r="KJV50" s="162"/>
      <c r="KJW50" s="162"/>
      <c r="KJX50" s="162"/>
      <c r="KJY50" s="162"/>
      <c r="KJZ50" s="162"/>
      <c r="KKA50" s="162"/>
      <c r="KKB50" s="162"/>
      <c r="KKC50" s="162"/>
      <c r="KKD50" s="162"/>
      <c r="KKE50" s="162"/>
      <c r="KKF50" s="162"/>
      <c r="KKG50" s="162"/>
      <c r="KKH50" s="162"/>
      <c r="KKI50" s="162"/>
      <c r="KKJ50" s="162"/>
      <c r="KKK50" s="162"/>
      <c r="KKL50" s="162"/>
      <c r="KKM50" s="162"/>
      <c r="KKN50" s="162"/>
      <c r="KKO50" s="162"/>
      <c r="KKP50" s="162"/>
      <c r="KKQ50" s="162"/>
      <c r="KKR50" s="162"/>
      <c r="KKS50" s="162"/>
      <c r="KKT50" s="162"/>
      <c r="KKU50" s="162"/>
      <c r="KKV50" s="162"/>
      <c r="KKW50" s="162"/>
      <c r="KKX50" s="162"/>
      <c r="KKY50" s="162"/>
      <c r="KKZ50" s="162"/>
      <c r="KLA50" s="162"/>
      <c r="KLB50" s="162"/>
      <c r="KLC50" s="162"/>
      <c r="KLD50" s="162"/>
      <c r="KLE50" s="162"/>
      <c r="KLF50" s="162"/>
      <c r="KLG50" s="162"/>
      <c r="KLH50" s="162"/>
      <c r="KLI50" s="162"/>
      <c r="KLJ50" s="162"/>
      <c r="KLK50" s="162"/>
      <c r="KLL50" s="162"/>
      <c r="KLM50" s="162"/>
      <c r="KLN50" s="162"/>
      <c r="KLO50" s="162"/>
      <c r="KLP50" s="162"/>
      <c r="KLQ50" s="162"/>
      <c r="KLR50" s="162"/>
      <c r="KLS50" s="162"/>
      <c r="KLT50" s="162"/>
      <c r="KLU50" s="162"/>
      <c r="KLV50" s="162"/>
      <c r="KLW50" s="162"/>
      <c r="KLX50" s="162"/>
      <c r="KLY50" s="162"/>
      <c r="KLZ50" s="162"/>
      <c r="KMA50" s="162"/>
      <c r="KMB50" s="162"/>
      <c r="KMC50" s="162"/>
      <c r="KMD50" s="162"/>
      <c r="KME50" s="162"/>
      <c r="KMF50" s="162"/>
      <c r="KMG50" s="162"/>
      <c r="KMH50" s="162"/>
      <c r="KMI50" s="162"/>
      <c r="KMJ50" s="162"/>
      <c r="KMK50" s="162"/>
      <c r="KML50" s="162"/>
      <c r="KMM50" s="162"/>
      <c r="KMN50" s="162"/>
      <c r="KMO50" s="162"/>
      <c r="KMP50" s="162"/>
      <c r="KMQ50" s="162"/>
      <c r="KMR50" s="162"/>
      <c r="KMS50" s="162"/>
      <c r="KMT50" s="162"/>
      <c r="KMU50" s="162"/>
      <c r="KMV50" s="162"/>
      <c r="KMW50" s="162"/>
      <c r="KMX50" s="162"/>
      <c r="KMY50" s="162"/>
      <c r="KMZ50" s="162"/>
      <c r="KNA50" s="162"/>
      <c r="KNB50" s="162"/>
      <c r="KNC50" s="162"/>
      <c r="KND50" s="162"/>
      <c r="KNE50" s="162"/>
      <c r="KNF50" s="162"/>
      <c r="KNG50" s="162"/>
      <c r="KNH50" s="162"/>
      <c r="KNI50" s="162"/>
      <c r="KNJ50" s="162"/>
      <c r="KNK50" s="162"/>
      <c r="KNL50" s="162"/>
      <c r="KNM50" s="162"/>
      <c r="KNN50" s="162"/>
      <c r="KNO50" s="162"/>
      <c r="KNP50" s="162"/>
      <c r="KNQ50" s="162"/>
      <c r="KNR50" s="162"/>
      <c r="KNS50" s="162"/>
      <c r="KNT50" s="162"/>
      <c r="KNU50" s="162"/>
      <c r="KNV50" s="162"/>
      <c r="KNW50" s="162"/>
      <c r="KNX50" s="162"/>
      <c r="KNY50" s="162"/>
      <c r="KNZ50" s="162"/>
      <c r="KOA50" s="162"/>
      <c r="KOB50" s="162"/>
      <c r="KOC50" s="162"/>
      <c r="KOD50" s="162"/>
      <c r="KOE50" s="162"/>
      <c r="KOF50" s="162"/>
      <c r="KOG50" s="162"/>
      <c r="KOH50" s="162"/>
      <c r="KOI50" s="162"/>
      <c r="KOJ50" s="162"/>
      <c r="KOK50" s="162"/>
      <c r="KOL50" s="162"/>
      <c r="KOM50" s="162"/>
      <c r="KON50" s="162"/>
      <c r="KOO50" s="162"/>
      <c r="KOP50" s="162"/>
      <c r="KOQ50" s="162"/>
      <c r="KOR50" s="162"/>
      <c r="KOS50" s="162"/>
      <c r="KOT50" s="162"/>
      <c r="KOU50" s="162"/>
      <c r="KOV50" s="162"/>
      <c r="KOW50" s="162"/>
      <c r="KOX50" s="162"/>
      <c r="KOY50" s="162"/>
      <c r="KOZ50" s="162"/>
      <c r="KPA50" s="162"/>
      <c r="KPB50" s="162"/>
      <c r="KPC50" s="162"/>
      <c r="KPD50" s="162"/>
      <c r="KPE50" s="162"/>
      <c r="KPF50" s="162"/>
      <c r="KPG50" s="162"/>
      <c r="KPH50" s="162"/>
      <c r="KPI50" s="162"/>
      <c r="KPJ50" s="162"/>
      <c r="KPK50" s="162"/>
      <c r="KPL50" s="162"/>
      <c r="KPM50" s="162"/>
      <c r="KPN50" s="162"/>
      <c r="KPO50" s="162"/>
      <c r="KPP50" s="162"/>
      <c r="KPQ50" s="162"/>
      <c r="KPR50" s="162"/>
      <c r="KPS50" s="162"/>
      <c r="KPT50" s="162"/>
      <c r="KPU50" s="162"/>
      <c r="KPV50" s="162"/>
      <c r="KPW50" s="162"/>
      <c r="KPX50" s="162"/>
      <c r="KPY50" s="162"/>
      <c r="KPZ50" s="162"/>
      <c r="KQA50" s="162"/>
      <c r="KQB50" s="162"/>
      <c r="KQC50" s="162"/>
      <c r="KQD50" s="162"/>
      <c r="KQE50" s="162"/>
      <c r="KQF50" s="162"/>
      <c r="KQG50" s="162"/>
      <c r="KQH50" s="162"/>
      <c r="KQI50" s="162"/>
      <c r="KQJ50" s="162"/>
      <c r="KQK50" s="162"/>
      <c r="KQL50" s="162"/>
      <c r="KQM50" s="162"/>
      <c r="KQN50" s="162"/>
      <c r="KQO50" s="162"/>
      <c r="KQP50" s="162"/>
      <c r="KQQ50" s="162"/>
      <c r="KQR50" s="162"/>
      <c r="KQS50" s="162"/>
      <c r="KQT50" s="162"/>
      <c r="KQU50" s="162"/>
      <c r="KQV50" s="162"/>
      <c r="KQW50" s="162"/>
      <c r="KQX50" s="162"/>
      <c r="KQY50" s="162"/>
      <c r="KQZ50" s="162"/>
      <c r="KRA50" s="162"/>
      <c r="KRB50" s="162"/>
      <c r="KRC50" s="162"/>
      <c r="KRD50" s="162"/>
      <c r="KRE50" s="162"/>
      <c r="KRF50" s="162"/>
      <c r="KRG50" s="162"/>
      <c r="KRH50" s="162"/>
      <c r="KRI50" s="162"/>
      <c r="KRJ50" s="162"/>
      <c r="KRK50" s="162"/>
      <c r="KRL50" s="162"/>
      <c r="KRM50" s="162"/>
      <c r="KRN50" s="162"/>
      <c r="KRO50" s="162"/>
      <c r="KRP50" s="162"/>
      <c r="KRQ50" s="162"/>
      <c r="KRR50" s="162"/>
      <c r="KRS50" s="162"/>
      <c r="KRT50" s="162"/>
      <c r="KRU50" s="162"/>
      <c r="KRV50" s="162"/>
      <c r="KRW50" s="162"/>
      <c r="KRX50" s="162"/>
      <c r="KRY50" s="162"/>
      <c r="KRZ50" s="162"/>
      <c r="KSA50" s="162"/>
      <c r="KSB50" s="162"/>
      <c r="KSC50" s="162"/>
      <c r="KSD50" s="162"/>
      <c r="KSE50" s="162"/>
      <c r="KSF50" s="162"/>
      <c r="KSG50" s="162"/>
      <c r="KSH50" s="162"/>
      <c r="KSI50" s="162"/>
      <c r="KSJ50" s="162"/>
      <c r="KSK50" s="162"/>
      <c r="KSL50" s="162"/>
      <c r="KSM50" s="162"/>
      <c r="KSN50" s="162"/>
      <c r="KSO50" s="162"/>
      <c r="KSP50" s="162"/>
      <c r="KSQ50" s="162"/>
      <c r="KSR50" s="162"/>
      <c r="KSS50" s="162"/>
      <c r="KST50" s="162"/>
      <c r="KSU50" s="162"/>
      <c r="KSV50" s="162"/>
      <c r="KSW50" s="162"/>
      <c r="KSX50" s="162"/>
      <c r="KSY50" s="162"/>
      <c r="KSZ50" s="162"/>
      <c r="KTA50" s="162"/>
      <c r="KTB50" s="162"/>
      <c r="KTC50" s="162"/>
      <c r="KTD50" s="162"/>
      <c r="KTE50" s="162"/>
      <c r="KTF50" s="162"/>
      <c r="KTG50" s="162"/>
      <c r="KTH50" s="162"/>
      <c r="KTI50" s="162"/>
      <c r="KTJ50" s="162"/>
      <c r="KTK50" s="162"/>
      <c r="KTL50" s="162"/>
      <c r="KTM50" s="162"/>
      <c r="KTN50" s="162"/>
      <c r="KTO50" s="162"/>
      <c r="KTP50" s="162"/>
      <c r="KTQ50" s="162"/>
      <c r="KTR50" s="162"/>
      <c r="KTS50" s="162"/>
      <c r="KTT50" s="162"/>
      <c r="KTU50" s="162"/>
      <c r="KTV50" s="162"/>
      <c r="KTW50" s="162"/>
      <c r="KTX50" s="162"/>
      <c r="KTY50" s="162"/>
      <c r="KTZ50" s="162"/>
      <c r="KUA50" s="162"/>
      <c r="KUB50" s="162"/>
      <c r="KUC50" s="162"/>
      <c r="KUD50" s="162"/>
      <c r="KUE50" s="162"/>
      <c r="KUF50" s="162"/>
      <c r="KUG50" s="162"/>
      <c r="KUH50" s="162"/>
      <c r="KUI50" s="162"/>
      <c r="KUJ50" s="162"/>
      <c r="KUK50" s="162"/>
      <c r="KUL50" s="162"/>
      <c r="KUM50" s="162"/>
      <c r="KUN50" s="162"/>
      <c r="KUO50" s="162"/>
      <c r="KUP50" s="162"/>
      <c r="KUQ50" s="162"/>
      <c r="KUR50" s="162"/>
      <c r="KUS50" s="162"/>
      <c r="KUT50" s="162"/>
      <c r="KUU50" s="162"/>
      <c r="KUV50" s="162"/>
      <c r="KUW50" s="162"/>
      <c r="KUX50" s="162"/>
      <c r="KUY50" s="162"/>
      <c r="KUZ50" s="162"/>
      <c r="KVA50" s="162"/>
      <c r="KVB50" s="162"/>
      <c r="KVC50" s="162"/>
      <c r="KVD50" s="162"/>
      <c r="KVE50" s="162"/>
      <c r="KVF50" s="162"/>
      <c r="KVG50" s="162"/>
      <c r="KVH50" s="162"/>
      <c r="KVI50" s="162"/>
      <c r="KVJ50" s="162"/>
      <c r="KVK50" s="162"/>
      <c r="KVL50" s="162"/>
      <c r="KVM50" s="162"/>
      <c r="KVN50" s="162"/>
      <c r="KVO50" s="162"/>
      <c r="KVP50" s="162"/>
      <c r="KVQ50" s="162"/>
      <c r="KVR50" s="162"/>
      <c r="KVS50" s="162"/>
      <c r="KVT50" s="162"/>
      <c r="KVU50" s="162"/>
      <c r="KVV50" s="162"/>
      <c r="KVW50" s="162"/>
      <c r="KVX50" s="162"/>
      <c r="KVY50" s="162"/>
      <c r="KVZ50" s="162"/>
      <c r="KWA50" s="162"/>
      <c r="KWB50" s="162"/>
      <c r="KWC50" s="162"/>
      <c r="KWD50" s="162"/>
      <c r="KWE50" s="162"/>
      <c r="KWF50" s="162"/>
      <c r="KWG50" s="162"/>
      <c r="KWH50" s="162"/>
      <c r="KWI50" s="162"/>
      <c r="KWJ50" s="162"/>
      <c r="KWK50" s="162"/>
      <c r="KWL50" s="162"/>
      <c r="KWM50" s="162"/>
      <c r="KWN50" s="162"/>
      <c r="KWO50" s="162"/>
      <c r="KWP50" s="162"/>
      <c r="KWQ50" s="162"/>
      <c r="KWR50" s="162"/>
      <c r="KWS50" s="162"/>
      <c r="KWT50" s="162"/>
      <c r="KWU50" s="162"/>
      <c r="KWV50" s="162"/>
      <c r="KWW50" s="162"/>
      <c r="KWX50" s="162"/>
      <c r="KWY50" s="162"/>
      <c r="KWZ50" s="162"/>
      <c r="KXA50" s="162"/>
      <c r="KXB50" s="162"/>
      <c r="KXC50" s="162"/>
      <c r="KXD50" s="162"/>
      <c r="KXE50" s="162"/>
      <c r="KXF50" s="162"/>
      <c r="KXG50" s="162"/>
      <c r="KXH50" s="162"/>
      <c r="KXI50" s="162"/>
      <c r="KXJ50" s="162"/>
      <c r="KXK50" s="162"/>
      <c r="KXL50" s="162"/>
      <c r="KXM50" s="162"/>
      <c r="KXN50" s="162"/>
      <c r="KXO50" s="162"/>
      <c r="KXP50" s="162"/>
      <c r="KXQ50" s="162"/>
      <c r="KXR50" s="162"/>
      <c r="KXS50" s="162"/>
      <c r="KXT50" s="162"/>
      <c r="KXU50" s="162"/>
      <c r="KXV50" s="162"/>
      <c r="KXW50" s="162"/>
      <c r="KXX50" s="162"/>
      <c r="KXY50" s="162"/>
      <c r="KXZ50" s="162"/>
      <c r="KYA50" s="162"/>
      <c r="KYB50" s="162"/>
      <c r="KYC50" s="162"/>
      <c r="KYD50" s="162"/>
      <c r="KYE50" s="162"/>
      <c r="KYF50" s="162"/>
      <c r="KYG50" s="162"/>
      <c r="KYH50" s="162"/>
      <c r="KYI50" s="162"/>
      <c r="KYJ50" s="162"/>
      <c r="KYK50" s="162"/>
      <c r="KYL50" s="162"/>
      <c r="KYM50" s="162"/>
      <c r="KYN50" s="162"/>
      <c r="KYO50" s="162"/>
      <c r="KYP50" s="162"/>
      <c r="KYQ50" s="162"/>
      <c r="KYR50" s="162"/>
      <c r="KYS50" s="162"/>
      <c r="KYT50" s="162"/>
      <c r="KYU50" s="162"/>
      <c r="KYV50" s="162"/>
      <c r="KYW50" s="162"/>
      <c r="KYX50" s="162"/>
      <c r="KYY50" s="162"/>
      <c r="KYZ50" s="162"/>
      <c r="KZA50" s="162"/>
      <c r="KZB50" s="162"/>
      <c r="KZC50" s="162"/>
      <c r="KZD50" s="162"/>
      <c r="KZE50" s="162"/>
      <c r="KZF50" s="162"/>
      <c r="KZG50" s="162"/>
      <c r="KZH50" s="162"/>
      <c r="KZI50" s="162"/>
      <c r="KZJ50" s="162"/>
      <c r="KZK50" s="162"/>
      <c r="KZL50" s="162"/>
      <c r="KZM50" s="162"/>
      <c r="KZN50" s="162"/>
      <c r="KZO50" s="162"/>
      <c r="KZP50" s="162"/>
      <c r="KZQ50" s="162"/>
      <c r="KZR50" s="162"/>
      <c r="KZS50" s="162"/>
      <c r="KZT50" s="162"/>
      <c r="KZU50" s="162"/>
      <c r="KZV50" s="162"/>
      <c r="KZW50" s="162"/>
      <c r="KZX50" s="162"/>
      <c r="KZY50" s="162"/>
      <c r="KZZ50" s="162"/>
      <c r="LAA50" s="162"/>
      <c r="LAB50" s="162"/>
      <c r="LAC50" s="162"/>
      <c r="LAD50" s="162"/>
      <c r="LAE50" s="162"/>
      <c r="LAF50" s="162"/>
      <c r="LAG50" s="162"/>
      <c r="LAH50" s="162"/>
      <c r="LAI50" s="162"/>
      <c r="LAJ50" s="162"/>
      <c r="LAK50" s="162"/>
      <c r="LAL50" s="162"/>
      <c r="LAM50" s="162"/>
      <c r="LAN50" s="162"/>
      <c r="LAO50" s="162"/>
      <c r="LAP50" s="162"/>
      <c r="LAQ50" s="162"/>
      <c r="LAR50" s="162"/>
      <c r="LAS50" s="162"/>
      <c r="LAT50" s="162"/>
      <c r="LAU50" s="162"/>
      <c r="LAV50" s="162"/>
      <c r="LAW50" s="162"/>
      <c r="LAX50" s="162"/>
      <c r="LAY50" s="162"/>
      <c r="LAZ50" s="162"/>
      <c r="LBA50" s="162"/>
      <c r="LBB50" s="162"/>
      <c r="LBC50" s="162"/>
      <c r="LBD50" s="162"/>
      <c r="LBE50" s="162"/>
      <c r="LBF50" s="162"/>
      <c r="LBG50" s="162"/>
      <c r="LBH50" s="162"/>
      <c r="LBI50" s="162"/>
      <c r="LBJ50" s="162"/>
      <c r="LBK50" s="162"/>
      <c r="LBL50" s="162"/>
      <c r="LBM50" s="162"/>
      <c r="LBN50" s="162"/>
      <c r="LBO50" s="162"/>
      <c r="LBP50" s="162"/>
      <c r="LBQ50" s="162"/>
      <c r="LBR50" s="162"/>
      <c r="LBS50" s="162"/>
      <c r="LBT50" s="162"/>
      <c r="LBU50" s="162"/>
      <c r="LBV50" s="162"/>
      <c r="LBW50" s="162"/>
      <c r="LBX50" s="162"/>
      <c r="LBY50" s="162"/>
      <c r="LBZ50" s="162"/>
      <c r="LCA50" s="162"/>
      <c r="LCB50" s="162"/>
      <c r="LCC50" s="162"/>
      <c r="LCD50" s="162"/>
      <c r="LCE50" s="162"/>
      <c r="LCF50" s="162"/>
      <c r="LCG50" s="162"/>
      <c r="LCH50" s="162"/>
      <c r="LCI50" s="162"/>
      <c r="LCJ50" s="162"/>
      <c r="LCK50" s="162"/>
      <c r="LCL50" s="162"/>
      <c r="LCM50" s="162"/>
      <c r="LCN50" s="162"/>
      <c r="LCO50" s="162"/>
      <c r="LCP50" s="162"/>
      <c r="LCQ50" s="162"/>
      <c r="LCR50" s="162"/>
      <c r="LCS50" s="162"/>
      <c r="LCT50" s="162"/>
      <c r="LCU50" s="162"/>
      <c r="LCV50" s="162"/>
      <c r="LCW50" s="162"/>
      <c r="LCX50" s="162"/>
      <c r="LCY50" s="162"/>
      <c r="LCZ50" s="162"/>
      <c r="LDA50" s="162"/>
      <c r="LDB50" s="162"/>
      <c r="LDC50" s="162"/>
      <c r="LDD50" s="162"/>
      <c r="LDE50" s="162"/>
      <c r="LDF50" s="162"/>
      <c r="LDG50" s="162"/>
      <c r="LDH50" s="162"/>
      <c r="LDI50" s="162"/>
      <c r="LDJ50" s="162"/>
      <c r="LDK50" s="162"/>
      <c r="LDL50" s="162"/>
      <c r="LDM50" s="162"/>
      <c r="LDN50" s="162"/>
      <c r="LDO50" s="162"/>
      <c r="LDP50" s="162"/>
      <c r="LDQ50" s="162"/>
      <c r="LDR50" s="162"/>
      <c r="LDS50" s="162"/>
      <c r="LDT50" s="162"/>
      <c r="LDU50" s="162"/>
      <c r="LDV50" s="162"/>
      <c r="LDW50" s="162"/>
      <c r="LDX50" s="162"/>
      <c r="LDY50" s="162"/>
      <c r="LDZ50" s="162"/>
      <c r="LEA50" s="162"/>
      <c r="LEB50" s="162"/>
      <c r="LEC50" s="162"/>
      <c r="LED50" s="162"/>
      <c r="LEE50" s="162"/>
      <c r="LEF50" s="162"/>
      <c r="LEG50" s="162"/>
      <c r="LEH50" s="162"/>
      <c r="LEI50" s="162"/>
      <c r="LEJ50" s="162"/>
      <c r="LEK50" s="162"/>
      <c r="LEL50" s="162"/>
      <c r="LEM50" s="162"/>
      <c r="LEN50" s="162"/>
      <c r="LEO50" s="162"/>
      <c r="LEP50" s="162"/>
      <c r="LEQ50" s="162"/>
      <c r="LER50" s="162"/>
      <c r="LES50" s="162"/>
      <c r="LET50" s="162"/>
      <c r="LEU50" s="162"/>
      <c r="LEV50" s="162"/>
      <c r="LEW50" s="162"/>
      <c r="LEX50" s="162"/>
      <c r="LEY50" s="162"/>
      <c r="LEZ50" s="162"/>
      <c r="LFA50" s="162"/>
      <c r="LFB50" s="162"/>
      <c r="LFC50" s="162"/>
      <c r="LFD50" s="162"/>
      <c r="LFE50" s="162"/>
      <c r="LFF50" s="162"/>
      <c r="LFG50" s="162"/>
      <c r="LFH50" s="162"/>
      <c r="LFI50" s="162"/>
      <c r="LFJ50" s="162"/>
      <c r="LFK50" s="162"/>
      <c r="LFL50" s="162"/>
      <c r="LFM50" s="162"/>
      <c r="LFN50" s="162"/>
      <c r="LFO50" s="162"/>
      <c r="LFP50" s="162"/>
      <c r="LFQ50" s="162"/>
      <c r="LFR50" s="162"/>
      <c r="LFS50" s="162"/>
      <c r="LFT50" s="162"/>
      <c r="LFU50" s="162"/>
      <c r="LFV50" s="162"/>
      <c r="LFW50" s="162"/>
      <c r="LFX50" s="162"/>
      <c r="LFY50" s="162"/>
      <c r="LFZ50" s="162"/>
      <c r="LGA50" s="162"/>
      <c r="LGB50" s="162"/>
      <c r="LGC50" s="162"/>
      <c r="LGD50" s="162"/>
      <c r="LGE50" s="162"/>
      <c r="LGF50" s="162"/>
      <c r="LGG50" s="162"/>
      <c r="LGH50" s="162"/>
      <c r="LGI50" s="162"/>
      <c r="LGJ50" s="162"/>
      <c r="LGK50" s="162"/>
      <c r="LGL50" s="162"/>
      <c r="LGM50" s="162"/>
      <c r="LGN50" s="162"/>
      <c r="LGO50" s="162"/>
      <c r="LGP50" s="162"/>
      <c r="LGQ50" s="162"/>
      <c r="LGR50" s="162"/>
      <c r="LGS50" s="162"/>
      <c r="LGT50" s="162"/>
      <c r="LGU50" s="162"/>
      <c r="LGV50" s="162"/>
      <c r="LGW50" s="162"/>
      <c r="LGX50" s="162"/>
      <c r="LGY50" s="162"/>
      <c r="LGZ50" s="162"/>
      <c r="LHA50" s="162"/>
      <c r="LHB50" s="162"/>
      <c r="LHC50" s="162"/>
      <c r="LHD50" s="162"/>
      <c r="LHE50" s="162"/>
      <c r="LHF50" s="162"/>
      <c r="LHG50" s="162"/>
      <c r="LHH50" s="162"/>
      <c r="LHI50" s="162"/>
      <c r="LHJ50" s="162"/>
      <c r="LHK50" s="162"/>
      <c r="LHL50" s="162"/>
      <c r="LHM50" s="162"/>
      <c r="LHN50" s="162"/>
      <c r="LHO50" s="162"/>
      <c r="LHP50" s="162"/>
      <c r="LHQ50" s="162"/>
      <c r="LHR50" s="162"/>
      <c r="LHS50" s="162"/>
      <c r="LHT50" s="162"/>
      <c r="LHU50" s="162"/>
      <c r="LHV50" s="162"/>
      <c r="LHW50" s="162"/>
      <c r="LHX50" s="162"/>
      <c r="LHY50" s="162"/>
      <c r="LHZ50" s="162"/>
      <c r="LIA50" s="162"/>
      <c r="LIB50" s="162"/>
      <c r="LIC50" s="162"/>
      <c r="LID50" s="162"/>
      <c r="LIE50" s="162"/>
      <c r="LIF50" s="162"/>
      <c r="LIG50" s="162"/>
      <c r="LIH50" s="162"/>
      <c r="LII50" s="162"/>
      <c r="LIJ50" s="162"/>
      <c r="LIK50" s="162"/>
      <c r="LIL50" s="162"/>
      <c r="LIM50" s="162"/>
      <c r="LIN50" s="162"/>
      <c r="LIO50" s="162"/>
      <c r="LIP50" s="162"/>
      <c r="LIQ50" s="162"/>
      <c r="LIR50" s="162"/>
      <c r="LIS50" s="162"/>
      <c r="LIT50" s="162"/>
      <c r="LIU50" s="162"/>
      <c r="LIV50" s="162"/>
      <c r="LIW50" s="162"/>
      <c r="LIX50" s="162"/>
      <c r="LIY50" s="162"/>
      <c r="LIZ50" s="162"/>
      <c r="LJA50" s="162"/>
      <c r="LJB50" s="162"/>
      <c r="LJC50" s="162"/>
      <c r="LJD50" s="162"/>
      <c r="LJE50" s="162"/>
      <c r="LJF50" s="162"/>
      <c r="LJG50" s="162"/>
      <c r="LJH50" s="162"/>
      <c r="LJI50" s="162"/>
      <c r="LJJ50" s="162"/>
      <c r="LJK50" s="162"/>
      <c r="LJL50" s="162"/>
      <c r="LJM50" s="162"/>
      <c r="LJN50" s="162"/>
      <c r="LJO50" s="162"/>
      <c r="LJP50" s="162"/>
      <c r="LJQ50" s="162"/>
      <c r="LJR50" s="162"/>
      <c r="LJS50" s="162"/>
      <c r="LJT50" s="162"/>
      <c r="LJU50" s="162"/>
      <c r="LJV50" s="162"/>
      <c r="LJW50" s="162"/>
      <c r="LJX50" s="162"/>
      <c r="LJY50" s="162"/>
      <c r="LJZ50" s="162"/>
      <c r="LKA50" s="162"/>
      <c r="LKB50" s="162"/>
      <c r="LKC50" s="162"/>
      <c r="LKD50" s="162"/>
      <c r="LKE50" s="162"/>
      <c r="LKF50" s="162"/>
      <c r="LKG50" s="162"/>
      <c r="LKH50" s="162"/>
      <c r="LKI50" s="162"/>
      <c r="LKJ50" s="162"/>
      <c r="LKK50" s="162"/>
      <c r="LKL50" s="162"/>
      <c r="LKM50" s="162"/>
      <c r="LKN50" s="162"/>
      <c r="LKO50" s="162"/>
      <c r="LKP50" s="162"/>
      <c r="LKQ50" s="162"/>
      <c r="LKR50" s="162"/>
      <c r="LKS50" s="162"/>
      <c r="LKT50" s="162"/>
      <c r="LKU50" s="162"/>
      <c r="LKV50" s="162"/>
      <c r="LKW50" s="162"/>
      <c r="LKX50" s="162"/>
      <c r="LKY50" s="162"/>
      <c r="LKZ50" s="162"/>
      <c r="LLA50" s="162"/>
      <c r="LLB50" s="162"/>
      <c r="LLC50" s="162"/>
      <c r="LLD50" s="162"/>
      <c r="LLE50" s="162"/>
      <c r="LLF50" s="162"/>
      <c r="LLG50" s="162"/>
      <c r="LLH50" s="162"/>
      <c r="LLI50" s="162"/>
      <c r="LLJ50" s="162"/>
      <c r="LLK50" s="162"/>
      <c r="LLL50" s="162"/>
      <c r="LLM50" s="162"/>
      <c r="LLN50" s="162"/>
      <c r="LLO50" s="162"/>
      <c r="LLP50" s="162"/>
      <c r="LLQ50" s="162"/>
      <c r="LLR50" s="162"/>
      <c r="LLS50" s="162"/>
      <c r="LLT50" s="162"/>
      <c r="LLU50" s="162"/>
      <c r="LLV50" s="162"/>
      <c r="LLW50" s="162"/>
      <c r="LLX50" s="162"/>
      <c r="LLY50" s="162"/>
      <c r="LLZ50" s="162"/>
      <c r="LMA50" s="162"/>
      <c r="LMB50" s="162"/>
      <c r="LMC50" s="162"/>
      <c r="LMD50" s="162"/>
      <c r="LME50" s="162"/>
      <c r="LMF50" s="162"/>
      <c r="LMG50" s="162"/>
      <c r="LMH50" s="162"/>
      <c r="LMI50" s="162"/>
      <c r="LMJ50" s="162"/>
      <c r="LMK50" s="162"/>
      <c r="LML50" s="162"/>
      <c r="LMM50" s="162"/>
      <c r="LMN50" s="162"/>
      <c r="LMO50" s="162"/>
      <c r="LMP50" s="162"/>
      <c r="LMQ50" s="162"/>
      <c r="LMR50" s="162"/>
      <c r="LMS50" s="162"/>
      <c r="LMT50" s="162"/>
      <c r="LMU50" s="162"/>
      <c r="LMV50" s="162"/>
      <c r="LMW50" s="162"/>
      <c r="LMX50" s="162"/>
      <c r="LMY50" s="162"/>
      <c r="LMZ50" s="162"/>
      <c r="LNA50" s="162"/>
      <c r="LNB50" s="162"/>
      <c r="LNC50" s="162"/>
      <c r="LND50" s="162"/>
      <c r="LNE50" s="162"/>
      <c r="LNF50" s="162"/>
      <c r="LNG50" s="162"/>
      <c r="LNH50" s="162"/>
      <c r="LNI50" s="162"/>
      <c r="LNJ50" s="162"/>
      <c r="LNK50" s="162"/>
      <c r="LNL50" s="162"/>
      <c r="LNM50" s="162"/>
      <c r="LNN50" s="162"/>
      <c r="LNO50" s="162"/>
      <c r="LNP50" s="162"/>
      <c r="LNQ50" s="162"/>
      <c r="LNR50" s="162"/>
      <c r="LNS50" s="162"/>
      <c r="LNT50" s="162"/>
      <c r="LNU50" s="162"/>
      <c r="LNV50" s="162"/>
      <c r="LNW50" s="162"/>
      <c r="LNX50" s="162"/>
      <c r="LNY50" s="162"/>
      <c r="LNZ50" s="162"/>
      <c r="LOA50" s="162"/>
      <c r="LOB50" s="162"/>
      <c r="LOC50" s="162"/>
      <c r="LOD50" s="162"/>
      <c r="LOE50" s="162"/>
      <c r="LOF50" s="162"/>
      <c r="LOG50" s="162"/>
      <c r="LOH50" s="162"/>
      <c r="LOI50" s="162"/>
      <c r="LOJ50" s="162"/>
      <c r="LOK50" s="162"/>
      <c r="LOL50" s="162"/>
      <c r="LOM50" s="162"/>
      <c r="LON50" s="162"/>
      <c r="LOO50" s="162"/>
      <c r="LOP50" s="162"/>
      <c r="LOQ50" s="162"/>
      <c r="LOR50" s="162"/>
      <c r="LOS50" s="162"/>
      <c r="LOT50" s="162"/>
      <c r="LOU50" s="162"/>
      <c r="LOV50" s="162"/>
      <c r="LOW50" s="162"/>
      <c r="LOX50" s="162"/>
      <c r="LOY50" s="162"/>
      <c r="LOZ50" s="162"/>
      <c r="LPA50" s="162"/>
      <c r="LPB50" s="162"/>
      <c r="LPC50" s="162"/>
      <c r="LPD50" s="162"/>
      <c r="LPE50" s="162"/>
      <c r="LPF50" s="162"/>
      <c r="LPG50" s="162"/>
      <c r="LPH50" s="162"/>
      <c r="LPI50" s="162"/>
      <c r="LPJ50" s="162"/>
      <c r="LPK50" s="162"/>
      <c r="LPL50" s="162"/>
      <c r="LPM50" s="162"/>
      <c r="LPN50" s="162"/>
      <c r="LPO50" s="162"/>
      <c r="LPP50" s="162"/>
      <c r="LPQ50" s="162"/>
      <c r="LPR50" s="162"/>
      <c r="LPS50" s="162"/>
      <c r="LPT50" s="162"/>
      <c r="LPU50" s="162"/>
      <c r="LPV50" s="162"/>
      <c r="LPW50" s="162"/>
      <c r="LPX50" s="162"/>
      <c r="LPY50" s="162"/>
      <c r="LPZ50" s="162"/>
      <c r="LQA50" s="162"/>
      <c r="LQB50" s="162"/>
      <c r="LQC50" s="162"/>
      <c r="LQD50" s="162"/>
      <c r="LQE50" s="162"/>
      <c r="LQF50" s="162"/>
      <c r="LQG50" s="162"/>
      <c r="LQH50" s="162"/>
      <c r="LQI50" s="162"/>
      <c r="LQJ50" s="162"/>
      <c r="LQK50" s="162"/>
      <c r="LQL50" s="162"/>
      <c r="LQM50" s="162"/>
      <c r="LQN50" s="162"/>
      <c r="LQO50" s="162"/>
      <c r="LQP50" s="162"/>
      <c r="LQQ50" s="162"/>
      <c r="LQR50" s="162"/>
      <c r="LQS50" s="162"/>
      <c r="LQT50" s="162"/>
      <c r="LQU50" s="162"/>
      <c r="LQV50" s="162"/>
      <c r="LQW50" s="162"/>
      <c r="LQX50" s="162"/>
      <c r="LQY50" s="162"/>
      <c r="LQZ50" s="162"/>
      <c r="LRA50" s="162"/>
      <c r="LRB50" s="162"/>
      <c r="LRC50" s="162"/>
      <c r="LRD50" s="162"/>
      <c r="LRE50" s="162"/>
      <c r="LRF50" s="162"/>
      <c r="LRG50" s="162"/>
      <c r="LRH50" s="162"/>
      <c r="LRI50" s="162"/>
      <c r="LRJ50" s="162"/>
      <c r="LRK50" s="162"/>
      <c r="LRL50" s="162"/>
      <c r="LRM50" s="162"/>
      <c r="LRN50" s="162"/>
      <c r="LRO50" s="162"/>
      <c r="LRP50" s="162"/>
      <c r="LRQ50" s="162"/>
      <c r="LRR50" s="162"/>
      <c r="LRS50" s="162"/>
      <c r="LRT50" s="162"/>
      <c r="LRU50" s="162"/>
      <c r="LRV50" s="162"/>
      <c r="LRW50" s="162"/>
      <c r="LRX50" s="162"/>
      <c r="LRY50" s="162"/>
      <c r="LRZ50" s="162"/>
      <c r="LSA50" s="162"/>
      <c r="LSB50" s="162"/>
      <c r="LSC50" s="162"/>
      <c r="LSD50" s="162"/>
      <c r="LSE50" s="162"/>
      <c r="LSF50" s="162"/>
      <c r="LSG50" s="162"/>
      <c r="LSH50" s="162"/>
      <c r="LSI50" s="162"/>
      <c r="LSJ50" s="162"/>
      <c r="LSK50" s="162"/>
      <c r="LSL50" s="162"/>
      <c r="LSM50" s="162"/>
      <c r="LSN50" s="162"/>
      <c r="LSO50" s="162"/>
      <c r="LSP50" s="162"/>
      <c r="LSQ50" s="162"/>
      <c r="LSR50" s="162"/>
      <c r="LSS50" s="162"/>
      <c r="LST50" s="162"/>
      <c r="LSU50" s="162"/>
      <c r="LSV50" s="162"/>
      <c r="LSW50" s="162"/>
      <c r="LSX50" s="162"/>
      <c r="LSY50" s="162"/>
      <c r="LSZ50" s="162"/>
      <c r="LTA50" s="162"/>
      <c r="LTB50" s="162"/>
      <c r="LTC50" s="162"/>
      <c r="LTD50" s="162"/>
      <c r="LTE50" s="162"/>
      <c r="LTF50" s="162"/>
      <c r="LTG50" s="162"/>
      <c r="LTH50" s="162"/>
      <c r="LTI50" s="162"/>
      <c r="LTJ50" s="162"/>
      <c r="LTK50" s="162"/>
      <c r="LTL50" s="162"/>
      <c r="LTM50" s="162"/>
      <c r="LTN50" s="162"/>
      <c r="LTO50" s="162"/>
      <c r="LTP50" s="162"/>
      <c r="LTQ50" s="162"/>
      <c r="LTR50" s="162"/>
      <c r="LTS50" s="162"/>
      <c r="LTT50" s="162"/>
      <c r="LTU50" s="162"/>
      <c r="LTV50" s="162"/>
      <c r="LTW50" s="162"/>
      <c r="LTX50" s="162"/>
      <c r="LTY50" s="162"/>
      <c r="LTZ50" s="162"/>
      <c r="LUA50" s="162"/>
      <c r="LUB50" s="162"/>
      <c r="LUC50" s="162"/>
      <c r="LUD50" s="162"/>
      <c r="LUE50" s="162"/>
      <c r="LUF50" s="162"/>
      <c r="LUG50" s="162"/>
      <c r="LUH50" s="162"/>
      <c r="LUI50" s="162"/>
      <c r="LUJ50" s="162"/>
      <c r="LUK50" s="162"/>
      <c r="LUL50" s="162"/>
      <c r="LUM50" s="162"/>
      <c r="LUN50" s="162"/>
      <c r="LUO50" s="162"/>
      <c r="LUP50" s="162"/>
      <c r="LUQ50" s="162"/>
      <c r="LUR50" s="162"/>
      <c r="LUS50" s="162"/>
      <c r="LUT50" s="162"/>
      <c r="LUU50" s="162"/>
      <c r="LUV50" s="162"/>
      <c r="LUW50" s="162"/>
      <c r="LUX50" s="162"/>
      <c r="LUY50" s="162"/>
      <c r="LUZ50" s="162"/>
      <c r="LVA50" s="162"/>
      <c r="LVB50" s="162"/>
      <c r="LVC50" s="162"/>
      <c r="LVD50" s="162"/>
      <c r="LVE50" s="162"/>
      <c r="LVF50" s="162"/>
      <c r="LVG50" s="162"/>
      <c r="LVH50" s="162"/>
      <c r="LVI50" s="162"/>
      <c r="LVJ50" s="162"/>
      <c r="LVK50" s="162"/>
      <c r="LVL50" s="162"/>
      <c r="LVM50" s="162"/>
      <c r="LVN50" s="162"/>
      <c r="LVO50" s="162"/>
      <c r="LVP50" s="162"/>
      <c r="LVQ50" s="162"/>
      <c r="LVR50" s="162"/>
      <c r="LVS50" s="162"/>
      <c r="LVT50" s="162"/>
      <c r="LVU50" s="162"/>
      <c r="LVV50" s="162"/>
      <c r="LVW50" s="162"/>
      <c r="LVX50" s="162"/>
      <c r="LVY50" s="162"/>
      <c r="LVZ50" s="162"/>
      <c r="LWA50" s="162"/>
      <c r="LWB50" s="162"/>
      <c r="LWC50" s="162"/>
      <c r="LWD50" s="162"/>
      <c r="LWE50" s="162"/>
      <c r="LWF50" s="162"/>
      <c r="LWG50" s="162"/>
      <c r="LWH50" s="162"/>
      <c r="LWI50" s="162"/>
      <c r="LWJ50" s="162"/>
      <c r="LWK50" s="162"/>
      <c r="LWL50" s="162"/>
      <c r="LWM50" s="162"/>
      <c r="LWN50" s="162"/>
      <c r="LWO50" s="162"/>
      <c r="LWP50" s="162"/>
      <c r="LWQ50" s="162"/>
      <c r="LWR50" s="162"/>
      <c r="LWS50" s="162"/>
      <c r="LWT50" s="162"/>
      <c r="LWU50" s="162"/>
      <c r="LWV50" s="162"/>
      <c r="LWW50" s="162"/>
      <c r="LWX50" s="162"/>
      <c r="LWY50" s="162"/>
      <c r="LWZ50" s="162"/>
      <c r="LXA50" s="162"/>
      <c r="LXB50" s="162"/>
      <c r="LXC50" s="162"/>
      <c r="LXD50" s="162"/>
      <c r="LXE50" s="162"/>
      <c r="LXF50" s="162"/>
      <c r="LXG50" s="162"/>
      <c r="LXH50" s="162"/>
      <c r="LXI50" s="162"/>
      <c r="LXJ50" s="162"/>
      <c r="LXK50" s="162"/>
      <c r="LXL50" s="162"/>
      <c r="LXM50" s="162"/>
      <c r="LXN50" s="162"/>
      <c r="LXO50" s="162"/>
      <c r="LXP50" s="162"/>
      <c r="LXQ50" s="162"/>
      <c r="LXR50" s="162"/>
      <c r="LXS50" s="162"/>
      <c r="LXT50" s="162"/>
      <c r="LXU50" s="162"/>
      <c r="LXV50" s="162"/>
      <c r="LXW50" s="162"/>
      <c r="LXX50" s="162"/>
      <c r="LXY50" s="162"/>
      <c r="LXZ50" s="162"/>
      <c r="LYA50" s="162"/>
      <c r="LYB50" s="162"/>
      <c r="LYC50" s="162"/>
      <c r="LYD50" s="162"/>
      <c r="LYE50" s="162"/>
      <c r="LYF50" s="162"/>
      <c r="LYG50" s="162"/>
      <c r="LYH50" s="162"/>
      <c r="LYI50" s="162"/>
      <c r="LYJ50" s="162"/>
      <c r="LYK50" s="162"/>
      <c r="LYL50" s="162"/>
      <c r="LYM50" s="162"/>
      <c r="LYN50" s="162"/>
      <c r="LYO50" s="162"/>
      <c r="LYP50" s="162"/>
      <c r="LYQ50" s="162"/>
      <c r="LYR50" s="162"/>
      <c r="LYS50" s="162"/>
      <c r="LYT50" s="162"/>
      <c r="LYU50" s="162"/>
      <c r="LYV50" s="162"/>
      <c r="LYW50" s="162"/>
      <c r="LYX50" s="162"/>
      <c r="LYY50" s="162"/>
      <c r="LYZ50" s="162"/>
      <c r="LZA50" s="162"/>
      <c r="LZB50" s="162"/>
      <c r="LZC50" s="162"/>
      <c r="LZD50" s="162"/>
      <c r="LZE50" s="162"/>
      <c r="LZF50" s="162"/>
      <c r="LZG50" s="162"/>
      <c r="LZH50" s="162"/>
      <c r="LZI50" s="162"/>
      <c r="LZJ50" s="162"/>
      <c r="LZK50" s="162"/>
      <c r="LZL50" s="162"/>
      <c r="LZM50" s="162"/>
      <c r="LZN50" s="162"/>
      <c r="LZO50" s="162"/>
      <c r="LZP50" s="162"/>
      <c r="LZQ50" s="162"/>
      <c r="LZR50" s="162"/>
      <c r="LZS50" s="162"/>
      <c r="LZT50" s="162"/>
      <c r="LZU50" s="162"/>
      <c r="LZV50" s="162"/>
      <c r="LZW50" s="162"/>
      <c r="LZX50" s="162"/>
      <c r="LZY50" s="162"/>
      <c r="LZZ50" s="162"/>
      <c r="MAA50" s="162"/>
      <c r="MAB50" s="162"/>
      <c r="MAC50" s="162"/>
      <c r="MAD50" s="162"/>
      <c r="MAE50" s="162"/>
      <c r="MAF50" s="162"/>
      <c r="MAG50" s="162"/>
      <c r="MAH50" s="162"/>
      <c r="MAI50" s="162"/>
      <c r="MAJ50" s="162"/>
      <c r="MAK50" s="162"/>
      <c r="MAL50" s="162"/>
      <c r="MAM50" s="162"/>
      <c r="MAN50" s="162"/>
      <c r="MAO50" s="162"/>
      <c r="MAP50" s="162"/>
      <c r="MAQ50" s="162"/>
      <c r="MAR50" s="162"/>
      <c r="MAS50" s="162"/>
      <c r="MAT50" s="162"/>
      <c r="MAU50" s="162"/>
      <c r="MAV50" s="162"/>
      <c r="MAW50" s="162"/>
      <c r="MAX50" s="162"/>
      <c r="MAY50" s="162"/>
      <c r="MAZ50" s="162"/>
      <c r="MBA50" s="162"/>
      <c r="MBB50" s="162"/>
      <c r="MBC50" s="162"/>
      <c r="MBD50" s="162"/>
      <c r="MBE50" s="162"/>
      <c r="MBF50" s="162"/>
      <c r="MBG50" s="162"/>
      <c r="MBH50" s="162"/>
      <c r="MBI50" s="162"/>
      <c r="MBJ50" s="162"/>
      <c r="MBK50" s="162"/>
      <c r="MBL50" s="162"/>
      <c r="MBM50" s="162"/>
      <c r="MBN50" s="162"/>
      <c r="MBO50" s="162"/>
      <c r="MBP50" s="162"/>
      <c r="MBQ50" s="162"/>
      <c r="MBR50" s="162"/>
      <c r="MBS50" s="162"/>
      <c r="MBT50" s="162"/>
      <c r="MBU50" s="162"/>
      <c r="MBV50" s="162"/>
      <c r="MBW50" s="162"/>
      <c r="MBX50" s="162"/>
      <c r="MBY50" s="162"/>
      <c r="MBZ50" s="162"/>
      <c r="MCA50" s="162"/>
      <c r="MCB50" s="162"/>
      <c r="MCC50" s="162"/>
      <c r="MCD50" s="162"/>
      <c r="MCE50" s="162"/>
      <c r="MCF50" s="162"/>
      <c r="MCG50" s="162"/>
      <c r="MCH50" s="162"/>
      <c r="MCI50" s="162"/>
      <c r="MCJ50" s="162"/>
      <c r="MCK50" s="162"/>
      <c r="MCL50" s="162"/>
      <c r="MCM50" s="162"/>
      <c r="MCN50" s="162"/>
      <c r="MCO50" s="162"/>
      <c r="MCP50" s="162"/>
      <c r="MCQ50" s="162"/>
      <c r="MCR50" s="162"/>
      <c r="MCS50" s="162"/>
      <c r="MCT50" s="162"/>
      <c r="MCU50" s="162"/>
      <c r="MCV50" s="162"/>
      <c r="MCW50" s="162"/>
      <c r="MCX50" s="162"/>
      <c r="MCY50" s="162"/>
      <c r="MCZ50" s="162"/>
      <c r="MDA50" s="162"/>
      <c r="MDB50" s="162"/>
      <c r="MDC50" s="162"/>
      <c r="MDD50" s="162"/>
      <c r="MDE50" s="162"/>
      <c r="MDF50" s="162"/>
      <c r="MDG50" s="162"/>
      <c r="MDH50" s="162"/>
      <c r="MDI50" s="162"/>
      <c r="MDJ50" s="162"/>
      <c r="MDK50" s="162"/>
      <c r="MDL50" s="162"/>
      <c r="MDM50" s="162"/>
      <c r="MDN50" s="162"/>
      <c r="MDO50" s="162"/>
      <c r="MDP50" s="162"/>
      <c r="MDQ50" s="162"/>
      <c r="MDR50" s="162"/>
      <c r="MDS50" s="162"/>
      <c r="MDT50" s="162"/>
      <c r="MDU50" s="162"/>
      <c r="MDV50" s="162"/>
      <c r="MDW50" s="162"/>
      <c r="MDX50" s="162"/>
      <c r="MDY50" s="162"/>
      <c r="MDZ50" s="162"/>
      <c r="MEA50" s="162"/>
      <c r="MEB50" s="162"/>
      <c r="MEC50" s="162"/>
      <c r="MED50" s="162"/>
      <c r="MEE50" s="162"/>
      <c r="MEF50" s="162"/>
      <c r="MEG50" s="162"/>
      <c r="MEH50" s="162"/>
      <c r="MEI50" s="162"/>
      <c r="MEJ50" s="162"/>
      <c r="MEK50" s="162"/>
      <c r="MEL50" s="162"/>
      <c r="MEM50" s="162"/>
      <c r="MEN50" s="162"/>
      <c r="MEO50" s="162"/>
      <c r="MEP50" s="162"/>
      <c r="MEQ50" s="162"/>
      <c r="MER50" s="162"/>
      <c r="MES50" s="162"/>
      <c r="MET50" s="162"/>
      <c r="MEU50" s="162"/>
      <c r="MEV50" s="162"/>
      <c r="MEW50" s="162"/>
      <c r="MEX50" s="162"/>
      <c r="MEY50" s="162"/>
      <c r="MEZ50" s="162"/>
      <c r="MFA50" s="162"/>
      <c r="MFB50" s="162"/>
      <c r="MFC50" s="162"/>
      <c r="MFD50" s="162"/>
      <c r="MFE50" s="162"/>
      <c r="MFF50" s="162"/>
      <c r="MFG50" s="162"/>
      <c r="MFH50" s="162"/>
      <c r="MFI50" s="162"/>
      <c r="MFJ50" s="162"/>
      <c r="MFK50" s="162"/>
      <c r="MFL50" s="162"/>
      <c r="MFM50" s="162"/>
      <c r="MFN50" s="162"/>
      <c r="MFO50" s="162"/>
      <c r="MFP50" s="162"/>
      <c r="MFQ50" s="162"/>
      <c r="MFR50" s="162"/>
      <c r="MFS50" s="162"/>
      <c r="MFT50" s="162"/>
      <c r="MFU50" s="162"/>
      <c r="MFV50" s="162"/>
      <c r="MFW50" s="162"/>
      <c r="MFX50" s="162"/>
      <c r="MFY50" s="162"/>
      <c r="MFZ50" s="162"/>
      <c r="MGA50" s="162"/>
      <c r="MGB50" s="162"/>
      <c r="MGC50" s="162"/>
      <c r="MGD50" s="162"/>
      <c r="MGE50" s="162"/>
      <c r="MGF50" s="162"/>
      <c r="MGG50" s="162"/>
      <c r="MGH50" s="162"/>
      <c r="MGI50" s="162"/>
      <c r="MGJ50" s="162"/>
      <c r="MGK50" s="162"/>
      <c r="MGL50" s="162"/>
      <c r="MGM50" s="162"/>
      <c r="MGN50" s="162"/>
      <c r="MGO50" s="162"/>
      <c r="MGP50" s="162"/>
      <c r="MGQ50" s="162"/>
      <c r="MGR50" s="162"/>
      <c r="MGS50" s="162"/>
      <c r="MGT50" s="162"/>
      <c r="MGU50" s="162"/>
      <c r="MGV50" s="162"/>
      <c r="MGW50" s="162"/>
      <c r="MGX50" s="162"/>
      <c r="MGY50" s="162"/>
      <c r="MGZ50" s="162"/>
      <c r="MHA50" s="162"/>
      <c r="MHB50" s="162"/>
      <c r="MHC50" s="162"/>
      <c r="MHD50" s="162"/>
      <c r="MHE50" s="162"/>
      <c r="MHF50" s="162"/>
      <c r="MHG50" s="162"/>
      <c r="MHH50" s="162"/>
      <c r="MHI50" s="162"/>
      <c r="MHJ50" s="162"/>
      <c r="MHK50" s="162"/>
      <c r="MHL50" s="162"/>
      <c r="MHM50" s="162"/>
      <c r="MHN50" s="162"/>
      <c r="MHO50" s="162"/>
      <c r="MHP50" s="162"/>
      <c r="MHQ50" s="162"/>
      <c r="MHR50" s="162"/>
      <c r="MHS50" s="162"/>
      <c r="MHT50" s="162"/>
      <c r="MHU50" s="162"/>
      <c r="MHV50" s="162"/>
      <c r="MHW50" s="162"/>
      <c r="MHX50" s="162"/>
      <c r="MHY50" s="162"/>
      <c r="MHZ50" s="162"/>
      <c r="MIA50" s="162"/>
      <c r="MIB50" s="162"/>
      <c r="MIC50" s="162"/>
      <c r="MID50" s="162"/>
      <c r="MIE50" s="162"/>
      <c r="MIF50" s="162"/>
      <c r="MIG50" s="162"/>
      <c r="MIH50" s="162"/>
      <c r="MII50" s="162"/>
      <c r="MIJ50" s="162"/>
      <c r="MIK50" s="162"/>
      <c r="MIL50" s="162"/>
      <c r="MIM50" s="162"/>
      <c r="MIN50" s="162"/>
      <c r="MIO50" s="162"/>
      <c r="MIP50" s="162"/>
      <c r="MIQ50" s="162"/>
      <c r="MIR50" s="162"/>
      <c r="MIS50" s="162"/>
      <c r="MIT50" s="162"/>
      <c r="MIU50" s="162"/>
      <c r="MIV50" s="162"/>
      <c r="MIW50" s="162"/>
      <c r="MIX50" s="162"/>
      <c r="MIY50" s="162"/>
      <c r="MIZ50" s="162"/>
      <c r="MJA50" s="162"/>
      <c r="MJB50" s="162"/>
      <c r="MJC50" s="162"/>
      <c r="MJD50" s="162"/>
      <c r="MJE50" s="162"/>
      <c r="MJF50" s="162"/>
      <c r="MJG50" s="162"/>
      <c r="MJH50" s="162"/>
      <c r="MJI50" s="162"/>
      <c r="MJJ50" s="162"/>
      <c r="MJK50" s="162"/>
      <c r="MJL50" s="162"/>
      <c r="MJM50" s="162"/>
      <c r="MJN50" s="162"/>
      <c r="MJO50" s="162"/>
      <c r="MJP50" s="162"/>
      <c r="MJQ50" s="162"/>
      <c r="MJR50" s="162"/>
      <c r="MJS50" s="162"/>
      <c r="MJT50" s="162"/>
      <c r="MJU50" s="162"/>
      <c r="MJV50" s="162"/>
      <c r="MJW50" s="162"/>
      <c r="MJX50" s="162"/>
      <c r="MJY50" s="162"/>
      <c r="MJZ50" s="162"/>
      <c r="MKA50" s="162"/>
      <c r="MKB50" s="162"/>
      <c r="MKC50" s="162"/>
      <c r="MKD50" s="162"/>
      <c r="MKE50" s="162"/>
      <c r="MKF50" s="162"/>
      <c r="MKG50" s="162"/>
      <c r="MKH50" s="162"/>
      <c r="MKI50" s="162"/>
      <c r="MKJ50" s="162"/>
      <c r="MKK50" s="162"/>
      <c r="MKL50" s="162"/>
      <c r="MKM50" s="162"/>
      <c r="MKN50" s="162"/>
      <c r="MKO50" s="162"/>
      <c r="MKP50" s="162"/>
      <c r="MKQ50" s="162"/>
      <c r="MKR50" s="162"/>
      <c r="MKS50" s="162"/>
      <c r="MKT50" s="162"/>
      <c r="MKU50" s="162"/>
      <c r="MKV50" s="162"/>
      <c r="MKW50" s="162"/>
      <c r="MKX50" s="162"/>
      <c r="MKY50" s="162"/>
      <c r="MKZ50" s="162"/>
      <c r="MLA50" s="162"/>
      <c r="MLB50" s="162"/>
      <c r="MLC50" s="162"/>
      <c r="MLD50" s="162"/>
      <c r="MLE50" s="162"/>
      <c r="MLF50" s="162"/>
      <c r="MLG50" s="162"/>
      <c r="MLH50" s="162"/>
      <c r="MLI50" s="162"/>
      <c r="MLJ50" s="162"/>
      <c r="MLK50" s="162"/>
      <c r="MLL50" s="162"/>
      <c r="MLM50" s="162"/>
      <c r="MLN50" s="162"/>
      <c r="MLO50" s="162"/>
      <c r="MLP50" s="162"/>
      <c r="MLQ50" s="162"/>
      <c r="MLR50" s="162"/>
      <c r="MLS50" s="162"/>
      <c r="MLT50" s="162"/>
      <c r="MLU50" s="162"/>
      <c r="MLV50" s="162"/>
      <c r="MLW50" s="162"/>
      <c r="MLX50" s="162"/>
      <c r="MLY50" s="162"/>
      <c r="MLZ50" s="162"/>
      <c r="MMA50" s="162"/>
      <c r="MMB50" s="162"/>
      <c r="MMC50" s="162"/>
      <c r="MMD50" s="162"/>
      <c r="MME50" s="162"/>
      <c r="MMF50" s="162"/>
      <c r="MMG50" s="162"/>
      <c r="MMH50" s="162"/>
      <c r="MMI50" s="162"/>
      <c r="MMJ50" s="162"/>
      <c r="MMK50" s="162"/>
      <c r="MML50" s="162"/>
      <c r="MMM50" s="162"/>
      <c r="MMN50" s="162"/>
      <c r="MMO50" s="162"/>
      <c r="MMP50" s="162"/>
      <c r="MMQ50" s="162"/>
      <c r="MMR50" s="162"/>
      <c r="MMS50" s="162"/>
      <c r="MMT50" s="162"/>
      <c r="MMU50" s="162"/>
      <c r="MMV50" s="162"/>
      <c r="MMW50" s="162"/>
      <c r="MMX50" s="162"/>
      <c r="MMY50" s="162"/>
      <c r="MMZ50" s="162"/>
      <c r="MNA50" s="162"/>
      <c r="MNB50" s="162"/>
      <c r="MNC50" s="162"/>
      <c r="MND50" s="162"/>
      <c r="MNE50" s="162"/>
      <c r="MNF50" s="162"/>
      <c r="MNG50" s="162"/>
      <c r="MNH50" s="162"/>
      <c r="MNI50" s="162"/>
      <c r="MNJ50" s="162"/>
      <c r="MNK50" s="162"/>
      <c r="MNL50" s="162"/>
      <c r="MNM50" s="162"/>
      <c r="MNN50" s="162"/>
      <c r="MNO50" s="162"/>
      <c r="MNP50" s="162"/>
      <c r="MNQ50" s="162"/>
      <c r="MNR50" s="162"/>
      <c r="MNS50" s="162"/>
      <c r="MNT50" s="162"/>
      <c r="MNU50" s="162"/>
      <c r="MNV50" s="162"/>
      <c r="MNW50" s="162"/>
      <c r="MNX50" s="162"/>
      <c r="MNY50" s="162"/>
      <c r="MNZ50" s="162"/>
      <c r="MOA50" s="162"/>
      <c r="MOB50" s="162"/>
      <c r="MOC50" s="162"/>
      <c r="MOD50" s="162"/>
      <c r="MOE50" s="162"/>
      <c r="MOF50" s="162"/>
      <c r="MOG50" s="162"/>
      <c r="MOH50" s="162"/>
      <c r="MOI50" s="162"/>
      <c r="MOJ50" s="162"/>
      <c r="MOK50" s="162"/>
      <c r="MOL50" s="162"/>
      <c r="MOM50" s="162"/>
      <c r="MON50" s="162"/>
      <c r="MOO50" s="162"/>
      <c r="MOP50" s="162"/>
      <c r="MOQ50" s="162"/>
      <c r="MOR50" s="162"/>
      <c r="MOS50" s="162"/>
      <c r="MOT50" s="162"/>
      <c r="MOU50" s="162"/>
      <c r="MOV50" s="162"/>
      <c r="MOW50" s="162"/>
      <c r="MOX50" s="162"/>
      <c r="MOY50" s="162"/>
      <c r="MOZ50" s="162"/>
      <c r="MPA50" s="162"/>
      <c r="MPB50" s="162"/>
      <c r="MPC50" s="162"/>
      <c r="MPD50" s="162"/>
      <c r="MPE50" s="162"/>
      <c r="MPF50" s="162"/>
      <c r="MPG50" s="162"/>
      <c r="MPH50" s="162"/>
      <c r="MPI50" s="162"/>
      <c r="MPJ50" s="162"/>
      <c r="MPK50" s="162"/>
      <c r="MPL50" s="162"/>
      <c r="MPM50" s="162"/>
      <c r="MPN50" s="162"/>
      <c r="MPO50" s="162"/>
      <c r="MPP50" s="162"/>
      <c r="MPQ50" s="162"/>
      <c r="MPR50" s="162"/>
      <c r="MPS50" s="162"/>
      <c r="MPT50" s="162"/>
      <c r="MPU50" s="162"/>
      <c r="MPV50" s="162"/>
      <c r="MPW50" s="162"/>
      <c r="MPX50" s="162"/>
      <c r="MPY50" s="162"/>
      <c r="MPZ50" s="162"/>
      <c r="MQA50" s="162"/>
      <c r="MQB50" s="162"/>
      <c r="MQC50" s="162"/>
      <c r="MQD50" s="162"/>
      <c r="MQE50" s="162"/>
      <c r="MQF50" s="162"/>
      <c r="MQG50" s="162"/>
      <c r="MQH50" s="162"/>
      <c r="MQI50" s="162"/>
      <c r="MQJ50" s="162"/>
      <c r="MQK50" s="162"/>
      <c r="MQL50" s="162"/>
      <c r="MQM50" s="162"/>
      <c r="MQN50" s="162"/>
      <c r="MQO50" s="162"/>
      <c r="MQP50" s="162"/>
      <c r="MQQ50" s="162"/>
      <c r="MQR50" s="162"/>
      <c r="MQS50" s="162"/>
      <c r="MQT50" s="162"/>
      <c r="MQU50" s="162"/>
      <c r="MQV50" s="162"/>
      <c r="MQW50" s="162"/>
      <c r="MQX50" s="162"/>
      <c r="MQY50" s="162"/>
      <c r="MQZ50" s="162"/>
      <c r="MRA50" s="162"/>
      <c r="MRB50" s="162"/>
      <c r="MRC50" s="162"/>
      <c r="MRD50" s="162"/>
      <c r="MRE50" s="162"/>
      <c r="MRF50" s="162"/>
      <c r="MRG50" s="162"/>
      <c r="MRH50" s="162"/>
      <c r="MRI50" s="162"/>
      <c r="MRJ50" s="162"/>
      <c r="MRK50" s="162"/>
      <c r="MRL50" s="162"/>
      <c r="MRM50" s="162"/>
      <c r="MRN50" s="162"/>
      <c r="MRO50" s="162"/>
      <c r="MRP50" s="162"/>
      <c r="MRQ50" s="162"/>
      <c r="MRR50" s="162"/>
      <c r="MRS50" s="162"/>
      <c r="MRT50" s="162"/>
      <c r="MRU50" s="162"/>
      <c r="MRV50" s="162"/>
      <c r="MRW50" s="162"/>
      <c r="MRX50" s="162"/>
      <c r="MRY50" s="162"/>
      <c r="MRZ50" s="162"/>
      <c r="MSA50" s="162"/>
      <c r="MSB50" s="162"/>
      <c r="MSC50" s="162"/>
      <c r="MSD50" s="162"/>
      <c r="MSE50" s="162"/>
      <c r="MSF50" s="162"/>
      <c r="MSG50" s="162"/>
      <c r="MSH50" s="162"/>
      <c r="MSI50" s="162"/>
      <c r="MSJ50" s="162"/>
      <c r="MSK50" s="162"/>
      <c r="MSL50" s="162"/>
      <c r="MSM50" s="162"/>
      <c r="MSN50" s="162"/>
      <c r="MSO50" s="162"/>
      <c r="MSP50" s="162"/>
      <c r="MSQ50" s="162"/>
      <c r="MSR50" s="162"/>
      <c r="MSS50" s="162"/>
      <c r="MST50" s="162"/>
      <c r="MSU50" s="162"/>
      <c r="MSV50" s="162"/>
      <c r="MSW50" s="162"/>
      <c r="MSX50" s="162"/>
      <c r="MSY50" s="162"/>
      <c r="MSZ50" s="162"/>
      <c r="MTA50" s="162"/>
      <c r="MTB50" s="162"/>
      <c r="MTC50" s="162"/>
      <c r="MTD50" s="162"/>
      <c r="MTE50" s="162"/>
      <c r="MTF50" s="162"/>
      <c r="MTG50" s="162"/>
      <c r="MTH50" s="162"/>
      <c r="MTI50" s="162"/>
      <c r="MTJ50" s="162"/>
      <c r="MTK50" s="162"/>
      <c r="MTL50" s="162"/>
      <c r="MTM50" s="162"/>
      <c r="MTN50" s="162"/>
      <c r="MTO50" s="162"/>
      <c r="MTP50" s="162"/>
      <c r="MTQ50" s="162"/>
      <c r="MTR50" s="162"/>
      <c r="MTS50" s="162"/>
      <c r="MTT50" s="162"/>
      <c r="MTU50" s="162"/>
      <c r="MTV50" s="162"/>
      <c r="MTW50" s="162"/>
      <c r="MTX50" s="162"/>
      <c r="MTY50" s="162"/>
      <c r="MTZ50" s="162"/>
      <c r="MUA50" s="162"/>
      <c r="MUB50" s="162"/>
      <c r="MUC50" s="162"/>
      <c r="MUD50" s="162"/>
      <c r="MUE50" s="162"/>
      <c r="MUF50" s="162"/>
      <c r="MUG50" s="162"/>
      <c r="MUH50" s="162"/>
      <c r="MUI50" s="162"/>
      <c r="MUJ50" s="162"/>
      <c r="MUK50" s="162"/>
      <c r="MUL50" s="162"/>
      <c r="MUM50" s="162"/>
      <c r="MUN50" s="162"/>
      <c r="MUO50" s="162"/>
      <c r="MUP50" s="162"/>
      <c r="MUQ50" s="162"/>
      <c r="MUR50" s="162"/>
      <c r="MUS50" s="162"/>
      <c r="MUT50" s="162"/>
      <c r="MUU50" s="162"/>
      <c r="MUV50" s="162"/>
      <c r="MUW50" s="162"/>
      <c r="MUX50" s="162"/>
      <c r="MUY50" s="162"/>
      <c r="MUZ50" s="162"/>
      <c r="MVA50" s="162"/>
      <c r="MVB50" s="162"/>
      <c r="MVC50" s="162"/>
      <c r="MVD50" s="162"/>
      <c r="MVE50" s="162"/>
      <c r="MVF50" s="162"/>
      <c r="MVG50" s="162"/>
      <c r="MVH50" s="162"/>
      <c r="MVI50" s="162"/>
      <c r="MVJ50" s="162"/>
      <c r="MVK50" s="162"/>
      <c r="MVL50" s="162"/>
      <c r="MVM50" s="162"/>
      <c r="MVN50" s="162"/>
      <c r="MVO50" s="162"/>
      <c r="MVP50" s="162"/>
      <c r="MVQ50" s="162"/>
      <c r="MVR50" s="162"/>
      <c r="MVS50" s="162"/>
      <c r="MVT50" s="162"/>
      <c r="MVU50" s="162"/>
      <c r="MVV50" s="162"/>
      <c r="MVW50" s="162"/>
      <c r="MVX50" s="162"/>
      <c r="MVY50" s="162"/>
      <c r="MVZ50" s="162"/>
      <c r="MWA50" s="162"/>
      <c r="MWB50" s="162"/>
      <c r="MWC50" s="162"/>
      <c r="MWD50" s="162"/>
      <c r="MWE50" s="162"/>
      <c r="MWF50" s="162"/>
      <c r="MWG50" s="162"/>
      <c r="MWH50" s="162"/>
      <c r="MWI50" s="162"/>
      <c r="MWJ50" s="162"/>
      <c r="MWK50" s="162"/>
      <c r="MWL50" s="162"/>
      <c r="MWM50" s="162"/>
      <c r="MWN50" s="162"/>
      <c r="MWO50" s="162"/>
      <c r="MWP50" s="162"/>
      <c r="MWQ50" s="162"/>
      <c r="MWR50" s="162"/>
      <c r="MWS50" s="162"/>
      <c r="MWT50" s="162"/>
      <c r="MWU50" s="162"/>
      <c r="MWV50" s="162"/>
      <c r="MWW50" s="162"/>
      <c r="MWX50" s="162"/>
      <c r="MWY50" s="162"/>
      <c r="MWZ50" s="162"/>
      <c r="MXA50" s="162"/>
      <c r="MXB50" s="162"/>
      <c r="MXC50" s="162"/>
      <c r="MXD50" s="162"/>
      <c r="MXE50" s="162"/>
      <c r="MXF50" s="162"/>
      <c r="MXG50" s="162"/>
      <c r="MXH50" s="162"/>
      <c r="MXI50" s="162"/>
      <c r="MXJ50" s="162"/>
      <c r="MXK50" s="162"/>
      <c r="MXL50" s="162"/>
      <c r="MXM50" s="162"/>
      <c r="MXN50" s="162"/>
      <c r="MXO50" s="162"/>
      <c r="MXP50" s="162"/>
      <c r="MXQ50" s="162"/>
      <c r="MXR50" s="162"/>
      <c r="MXS50" s="162"/>
      <c r="MXT50" s="162"/>
      <c r="MXU50" s="162"/>
      <c r="MXV50" s="162"/>
      <c r="MXW50" s="162"/>
      <c r="MXX50" s="162"/>
      <c r="MXY50" s="162"/>
      <c r="MXZ50" s="162"/>
      <c r="MYA50" s="162"/>
      <c r="MYB50" s="162"/>
      <c r="MYC50" s="162"/>
      <c r="MYD50" s="162"/>
      <c r="MYE50" s="162"/>
      <c r="MYF50" s="162"/>
      <c r="MYG50" s="162"/>
      <c r="MYH50" s="162"/>
      <c r="MYI50" s="162"/>
      <c r="MYJ50" s="162"/>
      <c r="MYK50" s="162"/>
      <c r="MYL50" s="162"/>
      <c r="MYM50" s="162"/>
      <c r="MYN50" s="162"/>
      <c r="MYO50" s="162"/>
      <c r="MYP50" s="162"/>
      <c r="MYQ50" s="162"/>
      <c r="MYR50" s="162"/>
      <c r="MYS50" s="162"/>
      <c r="MYT50" s="162"/>
      <c r="MYU50" s="162"/>
      <c r="MYV50" s="162"/>
      <c r="MYW50" s="162"/>
      <c r="MYX50" s="162"/>
      <c r="MYY50" s="162"/>
      <c r="MYZ50" s="162"/>
      <c r="MZA50" s="162"/>
      <c r="MZB50" s="162"/>
      <c r="MZC50" s="162"/>
      <c r="MZD50" s="162"/>
      <c r="MZE50" s="162"/>
      <c r="MZF50" s="162"/>
      <c r="MZG50" s="162"/>
      <c r="MZH50" s="162"/>
      <c r="MZI50" s="162"/>
      <c r="MZJ50" s="162"/>
      <c r="MZK50" s="162"/>
      <c r="MZL50" s="162"/>
      <c r="MZM50" s="162"/>
      <c r="MZN50" s="162"/>
      <c r="MZO50" s="162"/>
      <c r="MZP50" s="162"/>
      <c r="MZQ50" s="162"/>
      <c r="MZR50" s="162"/>
      <c r="MZS50" s="162"/>
      <c r="MZT50" s="162"/>
      <c r="MZU50" s="162"/>
      <c r="MZV50" s="162"/>
      <c r="MZW50" s="162"/>
      <c r="MZX50" s="162"/>
      <c r="MZY50" s="162"/>
      <c r="MZZ50" s="162"/>
      <c r="NAA50" s="162"/>
      <c r="NAB50" s="162"/>
      <c r="NAC50" s="162"/>
      <c r="NAD50" s="162"/>
      <c r="NAE50" s="162"/>
      <c r="NAF50" s="162"/>
      <c r="NAG50" s="162"/>
      <c r="NAH50" s="162"/>
      <c r="NAI50" s="162"/>
      <c r="NAJ50" s="162"/>
      <c r="NAK50" s="162"/>
      <c r="NAL50" s="162"/>
      <c r="NAM50" s="162"/>
      <c r="NAN50" s="162"/>
      <c r="NAO50" s="162"/>
      <c r="NAP50" s="162"/>
      <c r="NAQ50" s="162"/>
      <c r="NAR50" s="162"/>
      <c r="NAS50" s="162"/>
      <c r="NAT50" s="162"/>
      <c r="NAU50" s="162"/>
      <c r="NAV50" s="162"/>
      <c r="NAW50" s="162"/>
      <c r="NAX50" s="162"/>
      <c r="NAY50" s="162"/>
      <c r="NAZ50" s="162"/>
      <c r="NBA50" s="162"/>
      <c r="NBB50" s="162"/>
      <c r="NBC50" s="162"/>
      <c r="NBD50" s="162"/>
      <c r="NBE50" s="162"/>
      <c r="NBF50" s="162"/>
      <c r="NBG50" s="162"/>
      <c r="NBH50" s="162"/>
      <c r="NBI50" s="162"/>
      <c r="NBJ50" s="162"/>
      <c r="NBK50" s="162"/>
      <c r="NBL50" s="162"/>
      <c r="NBM50" s="162"/>
      <c r="NBN50" s="162"/>
      <c r="NBO50" s="162"/>
      <c r="NBP50" s="162"/>
      <c r="NBQ50" s="162"/>
      <c r="NBR50" s="162"/>
      <c r="NBS50" s="162"/>
      <c r="NBT50" s="162"/>
      <c r="NBU50" s="162"/>
      <c r="NBV50" s="162"/>
      <c r="NBW50" s="162"/>
      <c r="NBX50" s="162"/>
      <c r="NBY50" s="162"/>
      <c r="NBZ50" s="162"/>
      <c r="NCA50" s="162"/>
      <c r="NCB50" s="162"/>
      <c r="NCC50" s="162"/>
      <c r="NCD50" s="162"/>
      <c r="NCE50" s="162"/>
      <c r="NCF50" s="162"/>
      <c r="NCG50" s="162"/>
      <c r="NCH50" s="162"/>
      <c r="NCI50" s="162"/>
      <c r="NCJ50" s="162"/>
      <c r="NCK50" s="162"/>
      <c r="NCL50" s="162"/>
      <c r="NCM50" s="162"/>
      <c r="NCN50" s="162"/>
      <c r="NCO50" s="162"/>
      <c r="NCP50" s="162"/>
      <c r="NCQ50" s="162"/>
      <c r="NCR50" s="162"/>
      <c r="NCS50" s="162"/>
      <c r="NCT50" s="162"/>
      <c r="NCU50" s="162"/>
      <c r="NCV50" s="162"/>
      <c r="NCW50" s="162"/>
      <c r="NCX50" s="162"/>
      <c r="NCY50" s="162"/>
      <c r="NCZ50" s="162"/>
      <c r="NDA50" s="162"/>
      <c r="NDB50" s="162"/>
      <c r="NDC50" s="162"/>
      <c r="NDD50" s="162"/>
      <c r="NDE50" s="162"/>
      <c r="NDF50" s="162"/>
      <c r="NDG50" s="162"/>
      <c r="NDH50" s="162"/>
      <c r="NDI50" s="162"/>
      <c r="NDJ50" s="162"/>
      <c r="NDK50" s="162"/>
      <c r="NDL50" s="162"/>
      <c r="NDM50" s="162"/>
      <c r="NDN50" s="162"/>
      <c r="NDO50" s="162"/>
      <c r="NDP50" s="162"/>
      <c r="NDQ50" s="162"/>
      <c r="NDR50" s="162"/>
      <c r="NDS50" s="162"/>
      <c r="NDT50" s="162"/>
      <c r="NDU50" s="162"/>
      <c r="NDV50" s="162"/>
      <c r="NDW50" s="162"/>
      <c r="NDX50" s="162"/>
      <c r="NDY50" s="162"/>
      <c r="NDZ50" s="162"/>
      <c r="NEA50" s="162"/>
      <c r="NEB50" s="162"/>
      <c r="NEC50" s="162"/>
      <c r="NED50" s="162"/>
      <c r="NEE50" s="162"/>
      <c r="NEF50" s="162"/>
      <c r="NEG50" s="162"/>
      <c r="NEH50" s="162"/>
      <c r="NEI50" s="162"/>
      <c r="NEJ50" s="162"/>
      <c r="NEK50" s="162"/>
      <c r="NEL50" s="162"/>
      <c r="NEM50" s="162"/>
      <c r="NEN50" s="162"/>
      <c r="NEO50" s="162"/>
      <c r="NEP50" s="162"/>
      <c r="NEQ50" s="162"/>
      <c r="NER50" s="162"/>
      <c r="NES50" s="162"/>
      <c r="NET50" s="162"/>
      <c r="NEU50" s="162"/>
      <c r="NEV50" s="162"/>
      <c r="NEW50" s="162"/>
      <c r="NEX50" s="162"/>
      <c r="NEY50" s="162"/>
      <c r="NEZ50" s="162"/>
      <c r="NFA50" s="162"/>
      <c r="NFB50" s="162"/>
      <c r="NFC50" s="162"/>
      <c r="NFD50" s="162"/>
      <c r="NFE50" s="162"/>
      <c r="NFF50" s="162"/>
      <c r="NFG50" s="162"/>
      <c r="NFH50" s="162"/>
      <c r="NFI50" s="162"/>
      <c r="NFJ50" s="162"/>
      <c r="NFK50" s="162"/>
      <c r="NFL50" s="162"/>
      <c r="NFM50" s="162"/>
      <c r="NFN50" s="162"/>
      <c r="NFO50" s="162"/>
      <c r="NFP50" s="162"/>
      <c r="NFQ50" s="162"/>
      <c r="NFR50" s="162"/>
      <c r="NFS50" s="162"/>
      <c r="NFT50" s="162"/>
      <c r="NFU50" s="162"/>
      <c r="NFV50" s="162"/>
      <c r="NFW50" s="162"/>
      <c r="NFX50" s="162"/>
      <c r="NFY50" s="162"/>
      <c r="NFZ50" s="162"/>
      <c r="NGA50" s="162"/>
      <c r="NGB50" s="162"/>
      <c r="NGC50" s="162"/>
      <c r="NGD50" s="162"/>
      <c r="NGE50" s="162"/>
      <c r="NGF50" s="162"/>
      <c r="NGG50" s="162"/>
      <c r="NGH50" s="162"/>
      <c r="NGI50" s="162"/>
      <c r="NGJ50" s="162"/>
      <c r="NGK50" s="162"/>
      <c r="NGL50" s="162"/>
      <c r="NGM50" s="162"/>
      <c r="NGN50" s="162"/>
      <c r="NGO50" s="162"/>
      <c r="NGP50" s="162"/>
      <c r="NGQ50" s="162"/>
      <c r="NGR50" s="162"/>
      <c r="NGS50" s="162"/>
      <c r="NGT50" s="162"/>
      <c r="NGU50" s="162"/>
      <c r="NGV50" s="162"/>
      <c r="NGW50" s="162"/>
      <c r="NGX50" s="162"/>
      <c r="NGY50" s="162"/>
      <c r="NGZ50" s="162"/>
      <c r="NHA50" s="162"/>
      <c r="NHB50" s="162"/>
      <c r="NHC50" s="162"/>
      <c r="NHD50" s="162"/>
      <c r="NHE50" s="162"/>
      <c r="NHF50" s="162"/>
      <c r="NHG50" s="162"/>
      <c r="NHH50" s="162"/>
      <c r="NHI50" s="162"/>
      <c r="NHJ50" s="162"/>
      <c r="NHK50" s="162"/>
      <c r="NHL50" s="162"/>
      <c r="NHM50" s="162"/>
      <c r="NHN50" s="162"/>
      <c r="NHO50" s="162"/>
      <c r="NHP50" s="162"/>
      <c r="NHQ50" s="162"/>
      <c r="NHR50" s="162"/>
      <c r="NHS50" s="162"/>
      <c r="NHT50" s="162"/>
      <c r="NHU50" s="162"/>
      <c r="NHV50" s="162"/>
      <c r="NHW50" s="162"/>
      <c r="NHX50" s="162"/>
      <c r="NHY50" s="162"/>
      <c r="NHZ50" s="162"/>
      <c r="NIA50" s="162"/>
      <c r="NIB50" s="162"/>
      <c r="NIC50" s="162"/>
      <c r="NID50" s="162"/>
      <c r="NIE50" s="162"/>
      <c r="NIF50" s="162"/>
      <c r="NIG50" s="162"/>
      <c r="NIH50" s="162"/>
      <c r="NII50" s="162"/>
      <c r="NIJ50" s="162"/>
      <c r="NIK50" s="162"/>
      <c r="NIL50" s="162"/>
      <c r="NIM50" s="162"/>
      <c r="NIN50" s="162"/>
      <c r="NIO50" s="162"/>
      <c r="NIP50" s="162"/>
      <c r="NIQ50" s="162"/>
      <c r="NIR50" s="162"/>
      <c r="NIS50" s="162"/>
      <c r="NIT50" s="162"/>
      <c r="NIU50" s="162"/>
      <c r="NIV50" s="162"/>
      <c r="NIW50" s="162"/>
      <c r="NIX50" s="162"/>
      <c r="NIY50" s="162"/>
      <c r="NIZ50" s="162"/>
      <c r="NJA50" s="162"/>
      <c r="NJB50" s="162"/>
      <c r="NJC50" s="162"/>
      <c r="NJD50" s="162"/>
      <c r="NJE50" s="162"/>
      <c r="NJF50" s="162"/>
      <c r="NJG50" s="162"/>
      <c r="NJH50" s="162"/>
      <c r="NJI50" s="162"/>
      <c r="NJJ50" s="162"/>
      <c r="NJK50" s="162"/>
      <c r="NJL50" s="162"/>
      <c r="NJM50" s="162"/>
      <c r="NJN50" s="162"/>
      <c r="NJO50" s="162"/>
      <c r="NJP50" s="162"/>
      <c r="NJQ50" s="162"/>
      <c r="NJR50" s="162"/>
      <c r="NJS50" s="162"/>
      <c r="NJT50" s="162"/>
      <c r="NJU50" s="162"/>
      <c r="NJV50" s="162"/>
      <c r="NJW50" s="162"/>
      <c r="NJX50" s="162"/>
      <c r="NJY50" s="162"/>
      <c r="NJZ50" s="162"/>
      <c r="NKA50" s="162"/>
      <c r="NKB50" s="162"/>
      <c r="NKC50" s="162"/>
      <c r="NKD50" s="162"/>
      <c r="NKE50" s="162"/>
      <c r="NKF50" s="162"/>
      <c r="NKG50" s="162"/>
      <c r="NKH50" s="162"/>
      <c r="NKI50" s="162"/>
      <c r="NKJ50" s="162"/>
      <c r="NKK50" s="162"/>
      <c r="NKL50" s="162"/>
      <c r="NKM50" s="162"/>
      <c r="NKN50" s="162"/>
      <c r="NKO50" s="162"/>
      <c r="NKP50" s="162"/>
      <c r="NKQ50" s="162"/>
      <c r="NKR50" s="162"/>
      <c r="NKS50" s="162"/>
      <c r="NKT50" s="162"/>
      <c r="NKU50" s="162"/>
      <c r="NKV50" s="162"/>
      <c r="NKW50" s="162"/>
      <c r="NKX50" s="162"/>
      <c r="NKY50" s="162"/>
      <c r="NKZ50" s="162"/>
      <c r="NLA50" s="162"/>
      <c r="NLB50" s="162"/>
      <c r="NLC50" s="162"/>
      <c r="NLD50" s="162"/>
      <c r="NLE50" s="162"/>
      <c r="NLF50" s="162"/>
      <c r="NLG50" s="162"/>
      <c r="NLH50" s="162"/>
      <c r="NLI50" s="162"/>
      <c r="NLJ50" s="162"/>
      <c r="NLK50" s="162"/>
      <c r="NLL50" s="162"/>
      <c r="NLM50" s="162"/>
      <c r="NLN50" s="162"/>
      <c r="NLO50" s="162"/>
      <c r="NLP50" s="162"/>
      <c r="NLQ50" s="162"/>
      <c r="NLR50" s="162"/>
      <c r="NLS50" s="162"/>
      <c r="NLT50" s="162"/>
      <c r="NLU50" s="162"/>
      <c r="NLV50" s="162"/>
      <c r="NLW50" s="162"/>
      <c r="NLX50" s="162"/>
      <c r="NLY50" s="162"/>
      <c r="NLZ50" s="162"/>
      <c r="NMA50" s="162"/>
      <c r="NMB50" s="162"/>
      <c r="NMC50" s="162"/>
      <c r="NMD50" s="162"/>
      <c r="NME50" s="162"/>
      <c r="NMF50" s="162"/>
      <c r="NMG50" s="162"/>
      <c r="NMH50" s="162"/>
      <c r="NMI50" s="162"/>
      <c r="NMJ50" s="162"/>
      <c r="NMK50" s="162"/>
      <c r="NML50" s="162"/>
      <c r="NMM50" s="162"/>
      <c r="NMN50" s="162"/>
      <c r="NMO50" s="162"/>
      <c r="NMP50" s="162"/>
      <c r="NMQ50" s="162"/>
      <c r="NMR50" s="162"/>
      <c r="NMS50" s="162"/>
      <c r="NMT50" s="162"/>
      <c r="NMU50" s="162"/>
      <c r="NMV50" s="162"/>
      <c r="NMW50" s="162"/>
      <c r="NMX50" s="162"/>
      <c r="NMY50" s="162"/>
      <c r="NMZ50" s="162"/>
      <c r="NNA50" s="162"/>
      <c r="NNB50" s="162"/>
      <c r="NNC50" s="162"/>
      <c r="NND50" s="162"/>
      <c r="NNE50" s="162"/>
      <c r="NNF50" s="162"/>
      <c r="NNG50" s="162"/>
      <c r="NNH50" s="162"/>
      <c r="NNI50" s="162"/>
      <c r="NNJ50" s="162"/>
      <c r="NNK50" s="162"/>
      <c r="NNL50" s="162"/>
      <c r="NNM50" s="162"/>
      <c r="NNN50" s="162"/>
      <c r="NNO50" s="162"/>
      <c r="NNP50" s="162"/>
      <c r="NNQ50" s="162"/>
      <c r="NNR50" s="162"/>
      <c r="NNS50" s="162"/>
      <c r="NNT50" s="162"/>
      <c r="NNU50" s="162"/>
      <c r="NNV50" s="162"/>
      <c r="NNW50" s="162"/>
      <c r="NNX50" s="162"/>
      <c r="NNY50" s="162"/>
      <c r="NNZ50" s="162"/>
      <c r="NOA50" s="162"/>
      <c r="NOB50" s="162"/>
      <c r="NOC50" s="162"/>
      <c r="NOD50" s="162"/>
      <c r="NOE50" s="162"/>
      <c r="NOF50" s="162"/>
      <c r="NOG50" s="162"/>
      <c r="NOH50" s="162"/>
      <c r="NOI50" s="162"/>
      <c r="NOJ50" s="162"/>
      <c r="NOK50" s="162"/>
      <c r="NOL50" s="162"/>
      <c r="NOM50" s="162"/>
      <c r="NON50" s="162"/>
      <c r="NOO50" s="162"/>
      <c r="NOP50" s="162"/>
      <c r="NOQ50" s="162"/>
      <c r="NOR50" s="162"/>
      <c r="NOS50" s="162"/>
      <c r="NOT50" s="162"/>
      <c r="NOU50" s="162"/>
      <c r="NOV50" s="162"/>
      <c r="NOW50" s="162"/>
      <c r="NOX50" s="162"/>
      <c r="NOY50" s="162"/>
      <c r="NOZ50" s="162"/>
      <c r="NPA50" s="162"/>
      <c r="NPB50" s="162"/>
      <c r="NPC50" s="162"/>
      <c r="NPD50" s="162"/>
      <c r="NPE50" s="162"/>
      <c r="NPF50" s="162"/>
      <c r="NPG50" s="162"/>
      <c r="NPH50" s="162"/>
      <c r="NPI50" s="162"/>
      <c r="NPJ50" s="162"/>
      <c r="NPK50" s="162"/>
      <c r="NPL50" s="162"/>
      <c r="NPM50" s="162"/>
      <c r="NPN50" s="162"/>
      <c r="NPO50" s="162"/>
      <c r="NPP50" s="162"/>
      <c r="NPQ50" s="162"/>
      <c r="NPR50" s="162"/>
      <c r="NPS50" s="162"/>
      <c r="NPT50" s="162"/>
      <c r="NPU50" s="162"/>
      <c r="NPV50" s="162"/>
      <c r="NPW50" s="162"/>
      <c r="NPX50" s="162"/>
      <c r="NPY50" s="162"/>
      <c r="NPZ50" s="162"/>
      <c r="NQA50" s="162"/>
      <c r="NQB50" s="162"/>
      <c r="NQC50" s="162"/>
      <c r="NQD50" s="162"/>
      <c r="NQE50" s="162"/>
      <c r="NQF50" s="162"/>
      <c r="NQG50" s="162"/>
      <c r="NQH50" s="162"/>
      <c r="NQI50" s="162"/>
      <c r="NQJ50" s="162"/>
      <c r="NQK50" s="162"/>
      <c r="NQL50" s="162"/>
      <c r="NQM50" s="162"/>
      <c r="NQN50" s="162"/>
      <c r="NQO50" s="162"/>
      <c r="NQP50" s="162"/>
      <c r="NQQ50" s="162"/>
      <c r="NQR50" s="162"/>
      <c r="NQS50" s="162"/>
      <c r="NQT50" s="162"/>
      <c r="NQU50" s="162"/>
      <c r="NQV50" s="162"/>
      <c r="NQW50" s="162"/>
      <c r="NQX50" s="162"/>
      <c r="NQY50" s="162"/>
      <c r="NQZ50" s="162"/>
      <c r="NRA50" s="162"/>
      <c r="NRB50" s="162"/>
      <c r="NRC50" s="162"/>
      <c r="NRD50" s="162"/>
      <c r="NRE50" s="162"/>
      <c r="NRF50" s="162"/>
      <c r="NRG50" s="162"/>
      <c r="NRH50" s="162"/>
      <c r="NRI50" s="162"/>
      <c r="NRJ50" s="162"/>
      <c r="NRK50" s="162"/>
      <c r="NRL50" s="162"/>
      <c r="NRM50" s="162"/>
      <c r="NRN50" s="162"/>
      <c r="NRO50" s="162"/>
      <c r="NRP50" s="162"/>
      <c r="NRQ50" s="162"/>
      <c r="NRR50" s="162"/>
      <c r="NRS50" s="162"/>
      <c r="NRT50" s="162"/>
      <c r="NRU50" s="162"/>
      <c r="NRV50" s="162"/>
      <c r="NRW50" s="162"/>
      <c r="NRX50" s="162"/>
      <c r="NRY50" s="162"/>
      <c r="NRZ50" s="162"/>
      <c r="NSA50" s="162"/>
      <c r="NSB50" s="162"/>
      <c r="NSC50" s="162"/>
      <c r="NSD50" s="162"/>
      <c r="NSE50" s="162"/>
      <c r="NSF50" s="162"/>
      <c r="NSG50" s="162"/>
      <c r="NSH50" s="162"/>
      <c r="NSI50" s="162"/>
      <c r="NSJ50" s="162"/>
      <c r="NSK50" s="162"/>
      <c r="NSL50" s="162"/>
      <c r="NSM50" s="162"/>
      <c r="NSN50" s="162"/>
      <c r="NSO50" s="162"/>
      <c r="NSP50" s="162"/>
      <c r="NSQ50" s="162"/>
      <c r="NSR50" s="162"/>
      <c r="NSS50" s="162"/>
      <c r="NST50" s="162"/>
      <c r="NSU50" s="162"/>
      <c r="NSV50" s="162"/>
      <c r="NSW50" s="162"/>
      <c r="NSX50" s="162"/>
      <c r="NSY50" s="162"/>
      <c r="NSZ50" s="162"/>
      <c r="NTA50" s="162"/>
      <c r="NTB50" s="162"/>
      <c r="NTC50" s="162"/>
      <c r="NTD50" s="162"/>
      <c r="NTE50" s="162"/>
      <c r="NTF50" s="162"/>
      <c r="NTG50" s="162"/>
      <c r="NTH50" s="162"/>
      <c r="NTI50" s="162"/>
      <c r="NTJ50" s="162"/>
      <c r="NTK50" s="162"/>
      <c r="NTL50" s="162"/>
      <c r="NTM50" s="162"/>
      <c r="NTN50" s="162"/>
      <c r="NTO50" s="162"/>
      <c r="NTP50" s="162"/>
      <c r="NTQ50" s="162"/>
      <c r="NTR50" s="162"/>
      <c r="NTS50" s="162"/>
      <c r="NTT50" s="162"/>
      <c r="NTU50" s="162"/>
      <c r="NTV50" s="162"/>
      <c r="NTW50" s="162"/>
      <c r="NTX50" s="162"/>
      <c r="NTY50" s="162"/>
      <c r="NTZ50" s="162"/>
      <c r="NUA50" s="162"/>
      <c r="NUB50" s="162"/>
      <c r="NUC50" s="162"/>
      <c r="NUD50" s="162"/>
      <c r="NUE50" s="162"/>
      <c r="NUF50" s="162"/>
      <c r="NUG50" s="162"/>
      <c r="NUH50" s="162"/>
      <c r="NUI50" s="162"/>
      <c r="NUJ50" s="162"/>
      <c r="NUK50" s="162"/>
      <c r="NUL50" s="162"/>
      <c r="NUM50" s="162"/>
      <c r="NUN50" s="162"/>
      <c r="NUO50" s="162"/>
      <c r="NUP50" s="162"/>
      <c r="NUQ50" s="162"/>
      <c r="NUR50" s="162"/>
      <c r="NUS50" s="162"/>
      <c r="NUT50" s="162"/>
      <c r="NUU50" s="162"/>
      <c r="NUV50" s="162"/>
      <c r="NUW50" s="162"/>
      <c r="NUX50" s="162"/>
      <c r="NUY50" s="162"/>
      <c r="NUZ50" s="162"/>
      <c r="NVA50" s="162"/>
      <c r="NVB50" s="162"/>
      <c r="NVC50" s="162"/>
      <c r="NVD50" s="162"/>
      <c r="NVE50" s="162"/>
      <c r="NVF50" s="162"/>
      <c r="NVG50" s="162"/>
      <c r="NVH50" s="162"/>
      <c r="NVI50" s="162"/>
      <c r="NVJ50" s="162"/>
      <c r="NVK50" s="162"/>
      <c r="NVL50" s="162"/>
      <c r="NVM50" s="162"/>
      <c r="NVN50" s="162"/>
      <c r="NVO50" s="162"/>
      <c r="NVP50" s="162"/>
      <c r="NVQ50" s="162"/>
      <c r="NVR50" s="162"/>
      <c r="NVS50" s="162"/>
      <c r="NVT50" s="162"/>
      <c r="NVU50" s="162"/>
      <c r="NVV50" s="162"/>
      <c r="NVW50" s="162"/>
      <c r="NVX50" s="162"/>
      <c r="NVY50" s="162"/>
      <c r="NVZ50" s="162"/>
      <c r="NWA50" s="162"/>
      <c r="NWB50" s="162"/>
      <c r="NWC50" s="162"/>
      <c r="NWD50" s="162"/>
      <c r="NWE50" s="162"/>
      <c r="NWF50" s="162"/>
      <c r="NWG50" s="162"/>
      <c r="NWH50" s="162"/>
      <c r="NWI50" s="162"/>
      <c r="NWJ50" s="162"/>
      <c r="NWK50" s="162"/>
      <c r="NWL50" s="162"/>
      <c r="NWM50" s="162"/>
      <c r="NWN50" s="162"/>
      <c r="NWO50" s="162"/>
      <c r="NWP50" s="162"/>
      <c r="NWQ50" s="162"/>
      <c r="NWR50" s="162"/>
      <c r="NWS50" s="162"/>
      <c r="NWT50" s="162"/>
      <c r="NWU50" s="162"/>
      <c r="NWV50" s="162"/>
      <c r="NWW50" s="162"/>
      <c r="NWX50" s="162"/>
      <c r="NWY50" s="162"/>
      <c r="NWZ50" s="162"/>
      <c r="NXA50" s="162"/>
      <c r="NXB50" s="162"/>
      <c r="NXC50" s="162"/>
      <c r="NXD50" s="162"/>
      <c r="NXE50" s="162"/>
      <c r="NXF50" s="162"/>
      <c r="NXG50" s="162"/>
      <c r="NXH50" s="162"/>
      <c r="NXI50" s="162"/>
      <c r="NXJ50" s="162"/>
      <c r="NXK50" s="162"/>
      <c r="NXL50" s="162"/>
      <c r="NXM50" s="162"/>
      <c r="NXN50" s="162"/>
      <c r="NXO50" s="162"/>
      <c r="NXP50" s="162"/>
      <c r="NXQ50" s="162"/>
      <c r="NXR50" s="162"/>
      <c r="NXS50" s="162"/>
      <c r="NXT50" s="162"/>
      <c r="NXU50" s="162"/>
      <c r="NXV50" s="162"/>
      <c r="NXW50" s="162"/>
      <c r="NXX50" s="162"/>
      <c r="NXY50" s="162"/>
      <c r="NXZ50" s="162"/>
      <c r="NYA50" s="162"/>
      <c r="NYB50" s="162"/>
      <c r="NYC50" s="162"/>
      <c r="NYD50" s="162"/>
      <c r="NYE50" s="162"/>
      <c r="NYF50" s="162"/>
      <c r="NYG50" s="162"/>
      <c r="NYH50" s="162"/>
      <c r="NYI50" s="162"/>
      <c r="NYJ50" s="162"/>
      <c r="NYK50" s="162"/>
      <c r="NYL50" s="162"/>
      <c r="NYM50" s="162"/>
      <c r="NYN50" s="162"/>
      <c r="NYO50" s="162"/>
      <c r="NYP50" s="162"/>
      <c r="NYQ50" s="162"/>
      <c r="NYR50" s="162"/>
      <c r="NYS50" s="162"/>
      <c r="NYT50" s="162"/>
      <c r="NYU50" s="162"/>
      <c r="NYV50" s="162"/>
      <c r="NYW50" s="162"/>
      <c r="NYX50" s="162"/>
      <c r="NYY50" s="162"/>
      <c r="NYZ50" s="162"/>
      <c r="NZA50" s="162"/>
      <c r="NZB50" s="162"/>
      <c r="NZC50" s="162"/>
      <c r="NZD50" s="162"/>
      <c r="NZE50" s="162"/>
      <c r="NZF50" s="162"/>
      <c r="NZG50" s="162"/>
      <c r="NZH50" s="162"/>
      <c r="NZI50" s="162"/>
      <c r="NZJ50" s="162"/>
      <c r="NZK50" s="162"/>
      <c r="NZL50" s="162"/>
      <c r="NZM50" s="162"/>
      <c r="NZN50" s="162"/>
      <c r="NZO50" s="162"/>
      <c r="NZP50" s="162"/>
      <c r="NZQ50" s="162"/>
      <c r="NZR50" s="162"/>
      <c r="NZS50" s="162"/>
      <c r="NZT50" s="162"/>
      <c r="NZU50" s="162"/>
      <c r="NZV50" s="162"/>
      <c r="NZW50" s="162"/>
      <c r="NZX50" s="162"/>
      <c r="NZY50" s="162"/>
      <c r="NZZ50" s="162"/>
      <c r="OAA50" s="162"/>
      <c r="OAB50" s="162"/>
      <c r="OAC50" s="162"/>
      <c r="OAD50" s="162"/>
      <c r="OAE50" s="162"/>
      <c r="OAF50" s="162"/>
      <c r="OAG50" s="162"/>
      <c r="OAH50" s="162"/>
      <c r="OAI50" s="162"/>
      <c r="OAJ50" s="162"/>
      <c r="OAK50" s="162"/>
      <c r="OAL50" s="162"/>
      <c r="OAM50" s="162"/>
      <c r="OAN50" s="162"/>
      <c r="OAO50" s="162"/>
      <c r="OAP50" s="162"/>
      <c r="OAQ50" s="162"/>
      <c r="OAR50" s="162"/>
      <c r="OAS50" s="162"/>
      <c r="OAT50" s="162"/>
      <c r="OAU50" s="162"/>
      <c r="OAV50" s="162"/>
      <c r="OAW50" s="162"/>
      <c r="OAX50" s="162"/>
      <c r="OAY50" s="162"/>
      <c r="OAZ50" s="162"/>
      <c r="OBA50" s="162"/>
      <c r="OBB50" s="162"/>
      <c r="OBC50" s="162"/>
      <c r="OBD50" s="162"/>
      <c r="OBE50" s="162"/>
      <c r="OBF50" s="162"/>
      <c r="OBG50" s="162"/>
      <c r="OBH50" s="162"/>
      <c r="OBI50" s="162"/>
      <c r="OBJ50" s="162"/>
      <c r="OBK50" s="162"/>
      <c r="OBL50" s="162"/>
      <c r="OBM50" s="162"/>
      <c r="OBN50" s="162"/>
      <c r="OBO50" s="162"/>
      <c r="OBP50" s="162"/>
      <c r="OBQ50" s="162"/>
      <c r="OBR50" s="162"/>
      <c r="OBS50" s="162"/>
      <c r="OBT50" s="162"/>
      <c r="OBU50" s="162"/>
      <c r="OBV50" s="162"/>
      <c r="OBW50" s="162"/>
      <c r="OBX50" s="162"/>
      <c r="OBY50" s="162"/>
      <c r="OBZ50" s="162"/>
      <c r="OCA50" s="162"/>
      <c r="OCB50" s="162"/>
      <c r="OCC50" s="162"/>
      <c r="OCD50" s="162"/>
      <c r="OCE50" s="162"/>
      <c r="OCF50" s="162"/>
      <c r="OCG50" s="162"/>
      <c r="OCH50" s="162"/>
      <c r="OCI50" s="162"/>
      <c r="OCJ50" s="162"/>
      <c r="OCK50" s="162"/>
      <c r="OCL50" s="162"/>
      <c r="OCM50" s="162"/>
      <c r="OCN50" s="162"/>
      <c r="OCO50" s="162"/>
      <c r="OCP50" s="162"/>
      <c r="OCQ50" s="162"/>
      <c r="OCR50" s="162"/>
      <c r="OCS50" s="162"/>
      <c r="OCT50" s="162"/>
      <c r="OCU50" s="162"/>
      <c r="OCV50" s="162"/>
      <c r="OCW50" s="162"/>
      <c r="OCX50" s="162"/>
      <c r="OCY50" s="162"/>
      <c r="OCZ50" s="162"/>
      <c r="ODA50" s="162"/>
      <c r="ODB50" s="162"/>
      <c r="ODC50" s="162"/>
      <c r="ODD50" s="162"/>
      <c r="ODE50" s="162"/>
      <c r="ODF50" s="162"/>
      <c r="ODG50" s="162"/>
      <c r="ODH50" s="162"/>
      <c r="ODI50" s="162"/>
      <c r="ODJ50" s="162"/>
      <c r="ODK50" s="162"/>
      <c r="ODL50" s="162"/>
      <c r="ODM50" s="162"/>
      <c r="ODN50" s="162"/>
      <c r="ODO50" s="162"/>
      <c r="ODP50" s="162"/>
      <c r="ODQ50" s="162"/>
      <c r="ODR50" s="162"/>
      <c r="ODS50" s="162"/>
      <c r="ODT50" s="162"/>
      <c r="ODU50" s="162"/>
      <c r="ODV50" s="162"/>
      <c r="ODW50" s="162"/>
      <c r="ODX50" s="162"/>
      <c r="ODY50" s="162"/>
      <c r="ODZ50" s="162"/>
      <c r="OEA50" s="162"/>
      <c r="OEB50" s="162"/>
      <c r="OEC50" s="162"/>
      <c r="OED50" s="162"/>
      <c r="OEE50" s="162"/>
      <c r="OEF50" s="162"/>
      <c r="OEG50" s="162"/>
      <c r="OEH50" s="162"/>
      <c r="OEI50" s="162"/>
      <c r="OEJ50" s="162"/>
      <c r="OEK50" s="162"/>
      <c r="OEL50" s="162"/>
      <c r="OEM50" s="162"/>
      <c r="OEN50" s="162"/>
      <c r="OEO50" s="162"/>
      <c r="OEP50" s="162"/>
      <c r="OEQ50" s="162"/>
      <c r="OER50" s="162"/>
      <c r="OES50" s="162"/>
      <c r="OET50" s="162"/>
      <c r="OEU50" s="162"/>
      <c r="OEV50" s="162"/>
      <c r="OEW50" s="162"/>
      <c r="OEX50" s="162"/>
      <c r="OEY50" s="162"/>
      <c r="OEZ50" s="162"/>
      <c r="OFA50" s="162"/>
      <c r="OFB50" s="162"/>
      <c r="OFC50" s="162"/>
      <c r="OFD50" s="162"/>
      <c r="OFE50" s="162"/>
      <c r="OFF50" s="162"/>
      <c r="OFG50" s="162"/>
      <c r="OFH50" s="162"/>
      <c r="OFI50" s="162"/>
      <c r="OFJ50" s="162"/>
      <c r="OFK50" s="162"/>
      <c r="OFL50" s="162"/>
      <c r="OFM50" s="162"/>
      <c r="OFN50" s="162"/>
      <c r="OFO50" s="162"/>
      <c r="OFP50" s="162"/>
      <c r="OFQ50" s="162"/>
      <c r="OFR50" s="162"/>
      <c r="OFS50" s="162"/>
      <c r="OFT50" s="162"/>
      <c r="OFU50" s="162"/>
      <c r="OFV50" s="162"/>
      <c r="OFW50" s="162"/>
      <c r="OFX50" s="162"/>
      <c r="OFY50" s="162"/>
      <c r="OFZ50" s="162"/>
      <c r="OGA50" s="162"/>
      <c r="OGB50" s="162"/>
      <c r="OGC50" s="162"/>
      <c r="OGD50" s="162"/>
      <c r="OGE50" s="162"/>
      <c r="OGF50" s="162"/>
      <c r="OGG50" s="162"/>
      <c r="OGH50" s="162"/>
      <c r="OGI50" s="162"/>
      <c r="OGJ50" s="162"/>
      <c r="OGK50" s="162"/>
      <c r="OGL50" s="162"/>
      <c r="OGM50" s="162"/>
      <c r="OGN50" s="162"/>
      <c r="OGO50" s="162"/>
      <c r="OGP50" s="162"/>
      <c r="OGQ50" s="162"/>
      <c r="OGR50" s="162"/>
      <c r="OGS50" s="162"/>
      <c r="OGT50" s="162"/>
      <c r="OGU50" s="162"/>
      <c r="OGV50" s="162"/>
      <c r="OGW50" s="162"/>
      <c r="OGX50" s="162"/>
      <c r="OGY50" s="162"/>
      <c r="OGZ50" s="162"/>
      <c r="OHA50" s="162"/>
      <c r="OHB50" s="162"/>
      <c r="OHC50" s="162"/>
      <c r="OHD50" s="162"/>
      <c r="OHE50" s="162"/>
      <c r="OHF50" s="162"/>
      <c r="OHG50" s="162"/>
      <c r="OHH50" s="162"/>
      <c r="OHI50" s="162"/>
      <c r="OHJ50" s="162"/>
      <c r="OHK50" s="162"/>
      <c r="OHL50" s="162"/>
      <c r="OHM50" s="162"/>
      <c r="OHN50" s="162"/>
      <c r="OHO50" s="162"/>
      <c r="OHP50" s="162"/>
      <c r="OHQ50" s="162"/>
      <c r="OHR50" s="162"/>
      <c r="OHS50" s="162"/>
      <c r="OHT50" s="162"/>
      <c r="OHU50" s="162"/>
      <c r="OHV50" s="162"/>
      <c r="OHW50" s="162"/>
      <c r="OHX50" s="162"/>
      <c r="OHY50" s="162"/>
      <c r="OHZ50" s="162"/>
      <c r="OIA50" s="162"/>
      <c r="OIB50" s="162"/>
      <c r="OIC50" s="162"/>
      <c r="OID50" s="162"/>
      <c r="OIE50" s="162"/>
      <c r="OIF50" s="162"/>
      <c r="OIG50" s="162"/>
      <c r="OIH50" s="162"/>
      <c r="OII50" s="162"/>
      <c r="OIJ50" s="162"/>
      <c r="OIK50" s="162"/>
      <c r="OIL50" s="162"/>
      <c r="OIM50" s="162"/>
      <c r="OIN50" s="162"/>
      <c r="OIO50" s="162"/>
      <c r="OIP50" s="162"/>
      <c r="OIQ50" s="162"/>
      <c r="OIR50" s="162"/>
      <c r="OIS50" s="162"/>
      <c r="OIT50" s="162"/>
      <c r="OIU50" s="162"/>
      <c r="OIV50" s="162"/>
      <c r="OIW50" s="162"/>
      <c r="OIX50" s="162"/>
      <c r="OIY50" s="162"/>
      <c r="OIZ50" s="162"/>
      <c r="OJA50" s="162"/>
      <c r="OJB50" s="162"/>
      <c r="OJC50" s="162"/>
      <c r="OJD50" s="162"/>
      <c r="OJE50" s="162"/>
      <c r="OJF50" s="162"/>
      <c r="OJG50" s="162"/>
      <c r="OJH50" s="162"/>
      <c r="OJI50" s="162"/>
      <c r="OJJ50" s="162"/>
      <c r="OJK50" s="162"/>
      <c r="OJL50" s="162"/>
      <c r="OJM50" s="162"/>
      <c r="OJN50" s="162"/>
      <c r="OJO50" s="162"/>
      <c r="OJP50" s="162"/>
      <c r="OJQ50" s="162"/>
      <c r="OJR50" s="162"/>
      <c r="OJS50" s="162"/>
      <c r="OJT50" s="162"/>
      <c r="OJU50" s="162"/>
      <c r="OJV50" s="162"/>
      <c r="OJW50" s="162"/>
      <c r="OJX50" s="162"/>
      <c r="OJY50" s="162"/>
      <c r="OJZ50" s="162"/>
      <c r="OKA50" s="162"/>
      <c r="OKB50" s="162"/>
      <c r="OKC50" s="162"/>
      <c r="OKD50" s="162"/>
      <c r="OKE50" s="162"/>
      <c r="OKF50" s="162"/>
      <c r="OKG50" s="162"/>
      <c r="OKH50" s="162"/>
      <c r="OKI50" s="162"/>
      <c r="OKJ50" s="162"/>
      <c r="OKK50" s="162"/>
      <c r="OKL50" s="162"/>
      <c r="OKM50" s="162"/>
      <c r="OKN50" s="162"/>
      <c r="OKO50" s="162"/>
      <c r="OKP50" s="162"/>
      <c r="OKQ50" s="162"/>
      <c r="OKR50" s="162"/>
      <c r="OKS50" s="162"/>
      <c r="OKT50" s="162"/>
      <c r="OKU50" s="162"/>
      <c r="OKV50" s="162"/>
      <c r="OKW50" s="162"/>
      <c r="OKX50" s="162"/>
      <c r="OKY50" s="162"/>
      <c r="OKZ50" s="162"/>
      <c r="OLA50" s="162"/>
      <c r="OLB50" s="162"/>
      <c r="OLC50" s="162"/>
      <c r="OLD50" s="162"/>
      <c r="OLE50" s="162"/>
      <c r="OLF50" s="162"/>
      <c r="OLG50" s="162"/>
      <c r="OLH50" s="162"/>
      <c r="OLI50" s="162"/>
      <c r="OLJ50" s="162"/>
      <c r="OLK50" s="162"/>
      <c r="OLL50" s="162"/>
      <c r="OLM50" s="162"/>
      <c r="OLN50" s="162"/>
      <c r="OLO50" s="162"/>
      <c r="OLP50" s="162"/>
      <c r="OLQ50" s="162"/>
      <c r="OLR50" s="162"/>
      <c r="OLS50" s="162"/>
      <c r="OLT50" s="162"/>
      <c r="OLU50" s="162"/>
      <c r="OLV50" s="162"/>
      <c r="OLW50" s="162"/>
      <c r="OLX50" s="162"/>
      <c r="OLY50" s="162"/>
      <c r="OLZ50" s="162"/>
      <c r="OMA50" s="162"/>
      <c r="OMB50" s="162"/>
      <c r="OMC50" s="162"/>
      <c r="OMD50" s="162"/>
      <c r="OME50" s="162"/>
      <c r="OMF50" s="162"/>
      <c r="OMG50" s="162"/>
      <c r="OMH50" s="162"/>
      <c r="OMI50" s="162"/>
      <c r="OMJ50" s="162"/>
      <c r="OMK50" s="162"/>
      <c r="OML50" s="162"/>
      <c r="OMM50" s="162"/>
      <c r="OMN50" s="162"/>
      <c r="OMO50" s="162"/>
      <c r="OMP50" s="162"/>
      <c r="OMQ50" s="162"/>
      <c r="OMR50" s="162"/>
      <c r="OMS50" s="162"/>
      <c r="OMT50" s="162"/>
      <c r="OMU50" s="162"/>
      <c r="OMV50" s="162"/>
      <c r="OMW50" s="162"/>
      <c r="OMX50" s="162"/>
      <c r="OMY50" s="162"/>
      <c r="OMZ50" s="162"/>
      <c r="ONA50" s="162"/>
      <c r="ONB50" s="162"/>
      <c r="ONC50" s="162"/>
      <c r="OND50" s="162"/>
      <c r="ONE50" s="162"/>
      <c r="ONF50" s="162"/>
      <c r="ONG50" s="162"/>
      <c r="ONH50" s="162"/>
      <c r="ONI50" s="162"/>
      <c r="ONJ50" s="162"/>
      <c r="ONK50" s="162"/>
      <c r="ONL50" s="162"/>
      <c r="ONM50" s="162"/>
      <c r="ONN50" s="162"/>
      <c r="ONO50" s="162"/>
      <c r="ONP50" s="162"/>
      <c r="ONQ50" s="162"/>
      <c r="ONR50" s="162"/>
      <c r="ONS50" s="162"/>
      <c r="ONT50" s="162"/>
      <c r="ONU50" s="162"/>
      <c r="ONV50" s="162"/>
      <c r="ONW50" s="162"/>
      <c r="ONX50" s="162"/>
      <c r="ONY50" s="162"/>
      <c r="ONZ50" s="162"/>
      <c r="OOA50" s="162"/>
      <c r="OOB50" s="162"/>
      <c r="OOC50" s="162"/>
      <c r="OOD50" s="162"/>
      <c r="OOE50" s="162"/>
      <c r="OOF50" s="162"/>
      <c r="OOG50" s="162"/>
      <c r="OOH50" s="162"/>
      <c r="OOI50" s="162"/>
      <c r="OOJ50" s="162"/>
      <c r="OOK50" s="162"/>
      <c r="OOL50" s="162"/>
      <c r="OOM50" s="162"/>
      <c r="OON50" s="162"/>
      <c r="OOO50" s="162"/>
      <c r="OOP50" s="162"/>
      <c r="OOQ50" s="162"/>
      <c r="OOR50" s="162"/>
      <c r="OOS50" s="162"/>
      <c r="OOT50" s="162"/>
      <c r="OOU50" s="162"/>
      <c r="OOV50" s="162"/>
      <c r="OOW50" s="162"/>
      <c r="OOX50" s="162"/>
      <c r="OOY50" s="162"/>
      <c r="OOZ50" s="162"/>
      <c r="OPA50" s="162"/>
      <c r="OPB50" s="162"/>
      <c r="OPC50" s="162"/>
      <c r="OPD50" s="162"/>
      <c r="OPE50" s="162"/>
      <c r="OPF50" s="162"/>
      <c r="OPG50" s="162"/>
      <c r="OPH50" s="162"/>
      <c r="OPI50" s="162"/>
      <c r="OPJ50" s="162"/>
      <c r="OPK50" s="162"/>
      <c r="OPL50" s="162"/>
      <c r="OPM50" s="162"/>
      <c r="OPN50" s="162"/>
      <c r="OPO50" s="162"/>
      <c r="OPP50" s="162"/>
      <c r="OPQ50" s="162"/>
      <c r="OPR50" s="162"/>
      <c r="OPS50" s="162"/>
      <c r="OPT50" s="162"/>
      <c r="OPU50" s="162"/>
      <c r="OPV50" s="162"/>
      <c r="OPW50" s="162"/>
      <c r="OPX50" s="162"/>
      <c r="OPY50" s="162"/>
      <c r="OPZ50" s="162"/>
      <c r="OQA50" s="162"/>
      <c r="OQB50" s="162"/>
      <c r="OQC50" s="162"/>
      <c r="OQD50" s="162"/>
      <c r="OQE50" s="162"/>
      <c r="OQF50" s="162"/>
      <c r="OQG50" s="162"/>
      <c r="OQH50" s="162"/>
      <c r="OQI50" s="162"/>
      <c r="OQJ50" s="162"/>
      <c r="OQK50" s="162"/>
      <c r="OQL50" s="162"/>
      <c r="OQM50" s="162"/>
      <c r="OQN50" s="162"/>
      <c r="OQO50" s="162"/>
      <c r="OQP50" s="162"/>
      <c r="OQQ50" s="162"/>
      <c r="OQR50" s="162"/>
      <c r="OQS50" s="162"/>
      <c r="OQT50" s="162"/>
      <c r="OQU50" s="162"/>
      <c r="OQV50" s="162"/>
      <c r="OQW50" s="162"/>
      <c r="OQX50" s="162"/>
      <c r="OQY50" s="162"/>
      <c r="OQZ50" s="162"/>
      <c r="ORA50" s="162"/>
      <c r="ORB50" s="162"/>
      <c r="ORC50" s="162"/>
      <c r="ORD50" s="162"/>
      <c r="ORE50" s="162"/>
      <c r="ORF50" s="162"/>
      <c r="ORG50" s="162"/>
      <c r="ORH50" s="162"/>
      <c r="ORI50" s="162"/>
      <c r="ORJ50" s="162"/>
      <c r="ORK50" s="162"/>
      <c r="ORL50" s="162"/>
      <c r="ORM50" s="162"/>
      <c r="ORN50" s="162"/>
      <c r="ORO50" s="162"/>
      <c r="ORP50" s="162"/>
      <c r="ORQ50" s="162"/>
      <c r="ORR50" s="162"/>
      <c r="ORS50" s="162"/>
      <c r="ORT50" s="162"/>
      <c r="ORU50" s="162"/>
      <c r="ORV50" s="162"/>
      <c r="ORW50" s="162"/>
      <c r="ORX50" s="162"/>
      <c r="ORY50" s="162"/>
      <c r="ORZ50" s="162"/>
      <c r="OSA50" s="162"/>
      <c r="OSB50" s="162"/>
      <c r="OSC50" s="162"/>
      <c r="OSD50" s="162"/>
      <c r="OSE50" s="162"/>
      <c r="OSF50" s="162"/>
      <c r="OSG50" s="162"/>
      <c r="OSH50" s="162"/>
      <c r="OSI50" s="162"/>
      <c r="OSJ50" s="162"/>
      <c r="OSK50" s="162"/>
      <c r="OSL50" s="162"/>
      <c r="OSM50" s="162"/>
      <c r="OSN50" s="162"/>
      <c r="OSO50" s="162"/>
      <c r="OSP50" s="162"/>
      <c r="OSQ50" s="162"/>
      <c r="OSR50" s="162"/>
      <c r="OSS50" s="162"/>
      <c r="OST50" s="162"/>
      <c r="OSU50" s="162"/>
      <c r="OSV50" s="162"/>
      <c r="OSW50" s="162"/>
      <c r="OSX50" s="162"/>
      <c r="OSY50" s="162"/>
      <c r="OSZ50" s="162"/>
      <c r="OTA50" s="162"/>
      <c r="OTB50" s="162"/>
      <c r="OTC50" s="162"/>
      <c r="OTD50" s="162"/>
      <c r="OTE50" s="162"/>
      <c r="OTF50" s="162"/>
      <c r="OTG50" s="162"/>
      <c r="OTH50" s="162"/>
      <c r="OTI50" s="162"/>
      <c r="OTJ50" s="162"/>
      <c r="OTK50" s="162"/>
      <c r="OTL50" s="162"/>
      <c r="OTM50" s="162"/>
      <c r="OTN50" s="162"/>
      <c r="OTO50" s="162"/>
      <c r="OTP50" s="162"/>
      <c r="OTQ50" s="162"/>
      <c r="OTR50" s="162"/>
      <c r="OTS50" s="162"/>
      <c r="OTT50" s="162"/>
      <c r="OTU50" s="162"/>
      <c r="OTV50" s="162"/>
      <c r="OTW50" s="162"/>
      <c r="OTX50" s="162"/>
      <c r="OTY50" s="162"/>
      <c r="OTZ50" s="162"/>
      <c r="OUA50" s="162"/>
      <c r="OUB50" s="162"/>
      <c r="OUC50" s="162"/>
      <c r="OUD50" s="162"/>
      <c r="OUE50" s="162"/>
      <c r="OUF50" s="162"/>
      <c r="OUG50" s="162"/>
      <c r="OUH50" s="162"/>
      <c r="OUI50" s="162"/>
      <c r="OUJ50" s="162"/>
      <c r="OUK50" s="162"/>
      <c r="OUL50" s="162"/>
      <c r="OUM50" s="162"/>
      <c r="OUN50" s="162"/>
      <c r="OUO50" s="162"/>
      <c r="OUP50" s="162"/>
      <c r="OUQ50" s="162"/>
      <c r="OUR50" s="162"/>
      <c r="OUS50" s="162"/>
      <c r="OUT50" s="162"/>
      <c r="OUU50" s="162"/>
      <c r="OUV50" s="162"/>
      <c r="OUW50" s="162"/>
      <c r="OUX50" s="162"/>
      <c r="OUY50" s="162"/>
      <c r="OUZ50" s="162"/>
      <c r="OVA50" s="162"/>
      <c r="OVB50" s="162"/>
      <c r="OVC50" s="162"/>
      <c r="OVD50" s="162"/>
      <c r="OVE50" s="162"/>
      <c r="OVF50" s="162"/>
      <c r="OVG50" s="162"/>
      <c r="OVH50" s="162"/>
      <c r="OVI50" s="162"/>
      <c r="OVJ50" s="162"/>
      <c r="OVK50" s="162"/>
      <c r="OVL50" s="162"/>
      <c r="OVM50" s="162"/>
      <c r="OVN50" s="162"/>
      <c r="OVO50" s="162"/>
      <c r="OVP50" s="162"/>
      <c r="OVQ50" s="162"/>
      <c r="OVR50" s="162"/>
      <c r="OVS50" s="162"/>
      <c r="OVT50" s="162"/>
      <c r="OVU50" s="162"/>
      <c r="OVV50" s="162"/>
      <c r="OVW50" s="162"/>
      <c r="OVX50" s="162"/>
      <c r="OVY50" s="162"/>
      <c r="OVZ50" s="162"/>
      <c r="OWA50" s="162"/>
      <c r="OWB50" s="162"/>
      <c r="OWC50" s="162"/>
      <c r="OWD50" s="162"/>
      <c r="OWE50" s="162"/>
      <c r="OWF50" s="162"/>
      <c r="OWG50" s="162"/>
      <c r="OWH50" s="162"/>
      <c r="OWI50" s="162"/>
      <c r="OWJ50" s="162"/>
      <c r="OWK50" s="162"/>
      <c r="OWL50" s="162"/>
      <c r="OWM50" s="162"/>
      <c r="OWN50" s="162"/>
      <c r="OWO50" s="162"/>
      <c r="OWP50" s="162"/>
      <c r="OWQ50" s="162"/>
      <c r="OWR50" s="162"/>
      <c r="OWS50" s="162"/>
      <c r="OWT50" s="162"/>
      <c r="OWU50" s="162"/>
      <c r="OWV50" s="162"/>
      <c r="OWW50" s="162"/>
      <c r="OWX50" s="162"/>
      <c r="OWY50" s="162"/>
      <c r="OWZ50" s="162"/>
      <c r="OXA50" s="162"/>
      <c r="OXB50" s="162"/>
      <c r="OXC50" s="162"/>
      <c r="OXD50" s="162"/>
      <c r="OXE50" s="162"/>
      <c r="OXF50" s="162"/>
      <c r="OXG50" s="162"/>
      <c r="OXH50" s="162"/>
      <c r="OXI50" s="162"/>
      <c r="OXJ50" s="162"/>
      <c r="OXK50" s="162"/>
      <c r="OXL50" s="162"/>
      <c r="OXM50" s="162"/>
      <c r="OXN50" s="162"/>
      <c r="OXO50" s="162"/>
      <c r="OXP50" s="162"/>
      <c r="OXQ50" s="162"/>
      <c r="OXR50" s="162"/>
      <c r="OXS50" s="162"/>
      <c r="OXT50" s="162"/>
      <c r="OXU50" s="162"/>
      <c r="OXV50" s="162"/>
      <c r="OXW50" s="162"/>
      <c r="OXX50" s="162"/>
      <c r="OXY50" s="162"/>
      <c r="OXZ50" s="162"/>
      <c r="OYA50" s="162"/>
      <c r="OYB50" s="162"/>
      <c r="OYC50" s="162"/>
      <c r="OYD50" s="162"/>
      <c r="OYE50" s="162"/>
      <c r="OYF50" s="162"/>
      <c r="OYG50" s="162"/>
      <c r="OYH50" s="162"/>
      <c r="OYI50" s="162"/>
      <c r="OYJ50" s="162"/>
      <c r="OYK50" s="162"/>
      <c r="OYL50" s="162"/>
      <c r="OYM50" s="162"/>
      <c r="OYN50" s="162"/>
      <c r="OYO50" s="162"/>
      <c r="OYP50" s="162"/>
      <c r="OYQ50" s="162"/>
      <c r="OYR50" s="162"/>
      <c r="OYS50" s="162"/>
      <c r="OYT50" s="162"/>
      <c r="OYU50" s="162"/>
      <c r="OYV50" s="162"/>
      <c r="OYW50" s="162"/>
      <c r="OYX50" s="162"/>
      <c r="OYY50" s="162"/>
      <c r="OYZ50" s="162"/>
      <c r="OZA50" s="162"/>
      <c r="OZB50" s="162"/>
      <c r="OZC50" s="162"/>
      <c r="OZD50" s="162"/>
      <c r="OZE50" s="162"/>
      <c r="OZF50" s="162"/>
      <c r="OZG50" s="162"/>
      <c r="OZH50" s="162"/>
      <c r="OZI50" s="162"/>
      <c r="OZJ50" s="162"/>
      <c r="OZK50" s="162"/>
      <c r="OZL50" s="162"/>
      <c r="OZM50" s="162"/>
      <c r="OZN50" s="162"/>
      <c r="OZO50" s="162"/>
      <c r="OZP50" s="162"/>
      <c r="OZQ50" s="162"/>
      <c r="OZR50" s="162"/>
      <c r="OZS50" s="162"/>
      <c r="OZT50" s="162"/>
      <c r="OZU50" s="162"/>
      <c r="OZV50" s="162"/>
      <c r="OZW50" s="162"/>
      <c r="OZX50" s="162"/>
      <c r="OZY50" s="162"/>
      <c r="OZZ50" s="162"/>
      <c r="PAA50" s="162"/>
      <c r="PAB50" s="162"/>
      <c r="PAC50" s="162"/>
      <c r="PAD50" s="162"/>
      <c r="PAE50" s="162"/>
      <c r="PAF50" s="162"/>
      <c r="PAG50" s="162"/>
      <c r="PAH50" s="162"/>
      <c r="PAI50" s="162"/>
      <c r="PAJ50" s="162"/>
      <c r="PAK50" s="162"/>
      <c r="PAL50" s="162"/>
      <c r="PAM50" s="162"/>
      <c r="PAN50" s="162"/>
      <c r="PAO50" s="162"/>
      <c r="PAP50" s="162"/>
      <c r="PAQ50" s="162"/>
      <c r="PAR50" s="162"/>
      <c r="PAS50" s="162"/>
      <c r="PAT50" s="162"/>
      <c r="PAU50" s="162"/>
      <c r="PAV50" s="162"/>
      <c r="PAW50" s="162"/>
      <c r="PAX50" s="162"/>
      <c r="PAY50" s="162"/>
      <c r="PAZ50" s="162"/>
      <c r="PBA50" s="162"/>
      <c r="PBB50" s="162"/>
      <c r="PBC50" s="162"/>
      <c r="PBD50" s="162"/>
      <c r="PBE50" s="162"/>
      <c r="PBF50" s="162"/>
      <c r="PBG50" s="162"/>
      <c r="PBH50" s="162"/>
      <c r="PBI50" s="162"/>
      <c r="PBJ50" s="162"/>
      <c r="PBK50" s="162"/>
      <c r="PBL50" s="162"/>
      <c r="PBM50" s="162"/>
      <c r="PBN50" s="162"/>
      <c r="PBO50" s="162"/>
      <c r="PBP50" s="162"/>
      <c r="PBQ50" s="162"/>
      <c r="PBR50" s="162"/>
      <c r="PBS50" s="162"/>
      <c r="PBT50" s="162"/>
      <c r="PBU50" s="162"/>
      <c r="PBV50" s="162"/>
      <c r="PBW50" s="162"/>
      <c r="PBX50" s="162"/>
      <c r="PBY50" s="162"/>
      <c r="PBZ50" s="162"/>
      <c r="PCA50" s="162"/>
      <c r="PCB50" s="162"/>
      <c r="PCC50" s="162"/>
      <c r="PCD50" s="162"/>
      <c r="PCE50" s="162"/>
      <c r="PCF50" s="162"/>
      <c r="PCG50" s="162"/>
      <c r="PCH50" s="162"/>
      <c r="PCI50" s="162"/>
      <c r="PCJ50" s="162"/>
      <c r="PCK50" s="162"/>
      <c r="PCL50" s="162"/>
      <c r="PCM50" s="162"/>
      <c r="PCN50" s="162"/>
      <c r="PCO50" s="162"/>
      <c r="PCP50" s="162"/>
      <c r="PCQ50" s="162"/>
      <c r="PCR50" s="162"/>
      <c r="PCS50" s="162"/>
      <c r="PCT50" s="162"/>
      <c r="PCU50" s="162"/>
      <c r="PCV50" s="162"/>
      <c r="PCW50" s="162"/>
      <c r="PCX50" s="162"/>
      <c r="PCY50" s="162"/>
      <c r="PCZ50" s="162"/>
      <c r="PDA50" s="162"/>
      <c r="PDB50" s="162"/>
      <c r="PDC50" s="162"/>
      <c r="PDD50" s="162"/>
      <c r="PDE50" s="162"/>
      <c r="PDF50" s="162"/>
      <c r="PDG50" s="162"/>
      <c r="PDH50" s="162"/>
      <c r="PDI50" s="162"/>
      <c r="PDJ50" s="162"/>
      <c r="PDK50" s="162"/>
      <c r="PDL50" s="162"/>
      <c r="PDM50" s="162"/>
      <c r="PDN50" s="162"/>
      <c r="PDO50" s="162"/>
      <c r="PDP50" s="162"/>
      <c r="PDQ50" s="162"/>
      <c r="PDR50" s="162"/>
      <c r="PDS50" s="162"/>
      <c r="PDT50" s="162"/>
      <c r="PDU50" s="162"/>
      <c r="PDV50" s="162"/>
      <c r="PDW50" s="162"/>
      <c r="PDX50" s="162"/>
      <c r="PDY50" s="162"/>
      <c r="PDZ50" s="162"/>
      <c r="PEA50" s="162"/>
      <c r="PEB50" s="162"/>
      <c r="PEC50" s="162"/>
      <c r="PED50" s="162"/>
      <c r="PEE50" s="162"/>
      <c r="PEF50" s="162"/>
      <c r="PEG50" s="162"/>
      <c r="PEH50" s="162"/>
      <c r="PEI50" s="162"/>
      <c r="PEJ50" s="162"/>
      <c r="PEK50" s="162"/>
      <c r="PEL50" s="162"/>
      <c r="PEM50" s="162"/>
      <c r="PEN50" s="162"/>
      <c r="PEO50" s="162"/>
      <c r="PEP50" s="162"/>
      <c r="PEQ50" s="162"/>
      <c r="PER50" s="162"/>
      <c r="PES50" s="162"/>
      <c r="PET50" s="162"/>
      <c r="PEU50" s="162"/>
      <c r="PEV50" s="162"/>
      <c r="PEW50" s="162"/>
      <c r="PEX50" s="162"/>
      <c r="PEY50" s="162"/>
      <c r="PEZ50" s="162"/>
      <c r="PFA50" s="162"/>
      <c r="PFB50" s="162"/>
      <c r="PFC50" s="162"/>
      <c r="PFD50" s="162"/>
      <c r="PFE50" s="162"/>
      <c r="PFF50" s="162"/>
      <c r="PFG50" s="162"/>
      <c r="PFH50" s="162"/>
      <c r="PFI50" s="162"/>
      <c r="PFJ50" s="162"/>
      <c r="PFK50" s="162"/>
      <c r="PFL50" s="162"/>
      <c r="PFM50" s="162"/>
      <c r="PFN50" s="162"/>
      <c r="PFO50" s="162"/>
      <c r="PFP50" s="162"/>
      <c r="PFQ50" s="162"/>
      <c r="PFR50" s="162"/>
      <c r="PFS50" s="162"/>
      <c r="PFT50" s="162"/>
      <c r="PFU50" s="162"/>
      <c r="PFV50" s="162"/>
      <c r="PFW50" s="162"/>
      <c r="PFX50" s="162"/>
      <c r="PFY50" s="162"/>
      <c r="PFZ50" s="162"/>
      <c r="PGA50" s="162"/>
      <c r="PGB50" s="162"/>
      <c r="PGC50" s="162"/>
      <c r="PGD50" s="162"/>
      <c r="PGE50" s="162"/>
      <c r="PGF50" s="162"/>
      <c r="PGG50" s="162"/>
      <c r="PGH50" s="162"/>
      <c r="PGI50" s="162"/>
      <c r="PGJ50" s="162"/>
      <c r="PGK50" s="162"/>
      <c r="PGL50" s="162"/>
      <c r="PGM50" s="162"/>
      <c r="PGN50" s="162"/>
      <c r="PGO50" s="162"/>
      <c r="PGP50" s="162"/>
      <c r="PGQ50" s="162"/>
      <c r="PGR50" s="162"/>
      <c r="PGS50" s="162"/>
      <c r="PGT50" s="162"/>
      <c r="PGU50" s="162"/>
      <c r="PGV50" s="162"/>
      <c r="PGW50" s="162"/>
      <c r="PGX50" s="162"/>
      <c r="PGY50" s="162"/>
      <c r="PGZ50" s="162"/>
      <c r="PHA50" s="162"/>
      <c r="PHB50" s="162"/>
      <c r="PHC50" s="162"/>
      <c r="PHD50" s="162"/>
      <c r="PHE50" s="162"/>
      <c r="PHF50" s="162"/>
      <c r="PHG50" s="162"/>
      <c r="PHH50" s="162"/>
      <c r="PHI50" s="162"/>
      <c r="PHJ50" s="162"/>
      <c r="PHK50" s="162"/>
      <c r="PHL50" s="162"/>
      <c r="PHM50" s="162"/>
      <c r="PHN50" s="162"/>
      <c r="PHO50" s="162"/>
      <c r="PHP50" s="162"/>
      <c r="PHQ50" s="162"/>
      <c r="PHR50" s="162"/>
      <c r="PHS50" s="162"/>
      <c r="PHT50" s="162"/>
      <c r="PHU50" s="162"/>
      <c r="PHV50" s="162"/>
      <c r="PHW50" s="162"/>
      <c r="PHX50" s="162"/>
      <c r="PHY50" s="162"/>
      <c r="PHZ50" s="162"/>
      <c r="PIA50" s="162"/>
      <c r="PIB50" s="162"/>
      <c r="PIC50" s="162"/>
      <c r="PID50" s="162"/>
      <c r="PIE50" s="162"/>
      <c r="PIF50" s="162"/>
      <c r="PIG50" s="162"/>
      <c r="PIH50" s="162"/>
      <c r="PII50" s="162"/>
      <c r="PIJ50" s="162"/>
      <c r="PIK50" s="162"/>
      <c r="PIL50" s="162"/>
      <c r="PIM50" s="162"/>
      <c r="PIN50" s="162"/>
      <c r="PIO50" s="162"/>
      <c r="PIP50" s="162"/>
      <c r="PIQ50" s="162"/>
      <c r="PIR50" s="162"/>
      <c r="PIS50" s="162"/>
      <c r="PIT50" s="162"/>
      <c r="PIU50" s="162"/>
      <c r="PIV50" s="162"/>
      <c r="PIW50" s="162"/>
      <c r="PIX50" s="162"/>
      <c r="PIY50" s="162"/>
      <c r="PIZ50" s="162"/>
      <c r="PJA50" s="162"/>
      <c r="PJB50" s="162"/>
      <c r="PJC50" s="162"/>
      <c r="PJD50" s="162"/>
      <c r="PJE50" s="162"/>
      <c r="PJF50" s="162"/>
      <c r="PJG50" s="162"/>
      <c r="PJH50" s="162"/>
      <c r="PJI50" s="162"/>
      <c r="PJJ50" s="162"/>
      <c r="PJK50" s="162"/>
      <c r="PJL50" s="162"/>
      <c r="PJM50" s="162"/>
      <c r="PJN50" s="162"/>
      <c r="PJO50" s="162"/>
      <c r="PJP50" s="162"/>
      <c r="PJQ50" s="162"/>
      <c r="PJR50" s="162"/>
      <c r="PJS50" s="162"/>
      <c r="PJT50" s="162"/>
      <c r="PJU50" s="162"/>
      <c r="PJV50" s="162"/>
      <c r="PJW50" s="162"/>
      <c r="PJX50" s="162"/>
      <c r="PJY50" s="162"/>
      <c r="PJZ50" s="162"/>
      <c r="PKA50" s="162"/>
      <c r="PKB50" s="162"/>
      <c r="PKC50" s="162"/>
      <c r="PKD50" s="162"/>
      <c r="PKE50" s="162"/>
      <c r="PKF50" s="162"/>
      <c r="PKG50" s="162"/>
      <c r="PKH50" s="162"/>
      <c r="PKI50" s="162"/>
      <c r="PKJ50" s="162"/>
      <c r="PKK50" s="162"/>
      <c r="PKL50" s="162"/>
      <c r="PKM50" s="162"/>
      <c r="PKN50" s="162"/>
      <c r="PKO50" s="162"/>
      <c r="PKP50" s="162"/>
      <c r="PKQ50" s="162"/>
      <c r="PKR50" s="162"/>
      <c r="PKS50" s="162"/>
      <c r="PKT50" s="162"/>
      <c r="PKU50" s="162"/>
      <c r="PKV50" s="162"/>
      <c r="PKW50" s="162"/>
      <c r="PKX50" s="162"/>
      <c r="PKY50" s="162"/>
      <c r="PKZ50" s="162"/>
      <c r="PLA50" s="162"/>
      <c r="PLB50" s="162"/>
      <c r="PLC50" s="162"/>
      <c r="PLD50" s="162"/>
      <c r="PLE50" s="162"/>
      <c r="PLF50" s="162"/>
      <c r="PLG50" s="162"/>
      <c r="PLH50" s="162"/>
      <c r="PLI50" s="162"/>
      <c r="PLJ50" s="162"/>
      <c r="PLK50" s="162"/>
      <c r="PLL50" s="162"/>
      <c r="PLM50" s="162"/>
      <c r="PLN50" s="162"/>
      <c r="PLO50" s="162"/>
      <c r="PLP50" s="162"/>
      <c r="PLQ50" s="162"/>
      <c r="PLR50" s="162"/>
      <c r="PLS50" s="162"/>
      <c r="PLT50" s="162"/>
      <c r="PLU50" s="162"/>
      <c r="PLV50" s="162"/>
      <c r="PLW50" s="162"/>
      <c r="PLX50" s="162"/>
      <c r="PLY50" s="162"/>
      <c r="PLZ50" s="162"/>
      <c r="PMA50" s="162"/>
      <c r="PMB50" s="162"/>
      <c r="PMC50" s="162"/>
      <c r="PMD50" s="162"/>
      <c r="PME50" s="162"/>
      <c r="PMF50" s="162"/>
      <c r="PMG50" s="162"/>
      <c r="PMH50" s="162"/>
      <c r="PMI50" s="162"/>
      <c r="PMJ50" s="162"/>
      <c r="PMK50" s="162"/>
      <c r="PML50" s="162"/>
      <c r="PMM50" s="162"/>
      <c r="PMN50" s="162"/>
      <c r="PMO50" s="162"/>
      <c r="PMP50" s="162"/>
      <c r="PMQ50" s="162"/>
      <c r="PMR50" s="162"/>
      <c r="PMS50" s="162"/>
      <c r="PMT50" s="162"/>
      <c r="PMU50" s="162"/>
      <c r="PMV50" s="162"/>
      <c r="PMW50" s="162"/>
      <c r="PMX50" s="162"/>
      <c r="PMY50" s="162"/>
      <c r="PMZ50" s="162"/>
      <c r="PNA50" s="162"/>
      <c r="PNB50" s="162"/>
      <c r="PNC50" s="162"/>
      <c r="PND50" s="162"/>
      <c r="PNE50" s="162"/>
      <c r="PNF50" s="162"/>
      <c r="PNG50" s="162"/>
      <c r="PNH50" s="162"/>
      <c r="PNI50" s="162"/>
      <c r="PNJ50" s="162"/>
      <c r="PNK50" s="162"/>
      <c r="PNL50" s="162"/>
      <c r="PNM50" s="162"/>
      <c r="PNN50" s="162"/>
      <c r="PNO50" s="162"/>
      <c r="PNP50" s="162"/>
      <c r="PNQ50" s="162"/>
      <c r="PNR50" s="162"/>
      <c r="PNS50" s="162"/>
      <c r="PNT50" s="162"/>
      <c r="PNU50" s="162"/>
      <c r="PNV50" s="162"/>
      <c r="PNW50" s="162"/>
      <c r="PNX50" s="162"/>
      <c r="PNY50" s="162"/>
      <c r="PNZ50" s="162"/>
      <c r="POA50" s="162"/>
      <c r="POB50" s="162"/>
      <c r="POC50" s="162"/>
      <c r="POD50" s="162"/>
      <c r="POE50" s="162"/>
      <c r="POF50" s="162"/>
      <c r="POG50" s="162"/>
      <c r="POH50" s="162"/>
      <c r="POI50" s="162"/>
      <c r="POJ50" s="162"/>
      <c r="POK50" s="162"/>
      <c r="POL50" s="162"/>
      <c r="POM50" s="162"/>
      <c r="PON50" s="162"/>
      <c r="POO50" s="162"/>
      <c r="POP50" s="162"/>
      <c r="POQ50" s="162"/>
      <c r="POR50" s="162"/>
      <c r="POS50" s="162"/>
      <c r="POT50" s="162"/>
      <c r="POU50" s="162"/>
      <c r="POV50" s="162"/>
      <c r="POW50" s="162"/>
      <c r="POX50" s="162"/>
      <c r="POY50" s="162"/>
      <c r="POZ50" s="162"/>
      <c r="PPA50" s="162"/>
      <c r="PPB50" s="162"/>
      <c r="PPC50" s="162"/>
      <c r="PPD50" s="162"/>
      <c r="PPE50" s="162"/>
      <c r="PPF50" s="162"/>
      <c r="PPG50" s="162"/>
      <c r="PPH50" s="162"/>
      <c r="PPI50" s="162"/>
      <c r="PPJ50" s="162"/>
      <c r="PPK50" s="162"/>
      <c r="PPL50" s="162"/>
      <c r="PPM50" s="162"/>
      <c r="PPN50" s="162"/>
      <c r="PPO50" s="162"/>
      <c r="PPP50" s="162"/>
      <c r="PPQ50" s="162"/>
      <c r="PPR50" s="162"/>
      <c r="PPS50" s="162"/>
      <c r="PPT50" s="162"/>
      <c r="PPU50" s="162"/>
      <c r="PPV50" s="162"/>
      <c r="PPW50" s="162"/>
      <c r="PPX50" s="162"/>
      <c r="PPY50" s="162"/>
      <c r="PPZ50" s="162"/>
      <c r="PQA50" s="162"/>
      <c r="PQB50" s="162"/>
      <c r="PQC50" s="162"/>
      <c r="PQD50" s="162"/>
      <c r="PQE50" s="162"/>
      <c r="PQF50" s="162"/>
      <c r="PQG50" s="162"/>
      <c r="PQH50" s="162"/>
      <c r="PQI50" s="162"/>
      <c r="PQJ50" s="162"/>
      <c r="PQK50" s="162"/>
      <c r="PQL50" s="162"/>
      <c r="PQM50" s="162"/>
      <c r="PQN50" s="162"/>
      <c r="PQO50" s="162"/>
      <c r="PQP50" s="162"/>
      <c r="PQQ50" s="162"/>
      <c r="PQR50" s="162"/>
      <c r="PQS50" s="162"/>
      <c r="PQT50" s="162"/>
      <c r="PQU50" s="162"/>
      <c r="PQV50" s="162"/>
      <c r="PQW50" s="162"/>
      <c r="PQX50" s="162"/>
      <c r="PQY50" s="162"/>
      <c r="PQZ50" s="162"/>
      <c r="PRA50" s="162"/>
      <c r="PRB50" s="162"/>
      <c r="PRC50" s="162"/>
      <c r="PRD50" s="162"/>
      <c r="PRE50" s="162"/>
      <c r="PRF50" s="162"/>
      <c r="PRG50" s="162"/>
      <c r="PRH50" s="162"/>
      <c r="PRI50" s="162"/>
      <c r="PRJ50" s="162"/>
      <c r="PRK50" s="162"/>
      <c r="PRL50" s="162"/>
      <c r="PRM50" s="162"/>
      <c r="PRN50" s="162"/>
      <c r="PRO50" s="162"/>
      <c r="PRP50" s="162"/>
      <c r="PRQ50" s="162"/>
      <c r="PRR50" s="162"/>
      <c r="PRS50" s="162"/>
      <c r="PRT50" s="162"/>
      <c r="PRU50" s="162"/>
      <c r="PRV50" s="162"/>
      <c r="PRW50" s="162"/>
      <c r="PRX50" s="162"/>
      <c r="PRY50" s="162"/>
      <c r="PRZ50" s="162"/>
      <c r="PSA50" s="162"/>
      <c r="PSB50" s="162"/>
      <c r="PSC50" s="162"/>
      <c r="PSD50" s="162"/>
      <c r="PSE50" s="162"/>
      <c r="PSF50" s="162"/>
      <c r="PSG50" s="162"/>
      <c r="PSH50" s="162"/>
      <c r="PSI50" s="162"/>
      <c r="PSJ50" s="162"/>
      <c r="PSK50" s="162"/>
      <c r="PSL50" s="162"/>
      <c r="PSM50" s="162"/>
      <c r="PSN50" s="162"/>
      <c r="PSO50" s="162"/>
      <c r="PSP50" s="162"/>
      <c r="PSQ50" s="162"/>
      <c r="PSR50" s="162"/>
      <c r="PSS50" s="162"/>
      <c r="PST50" s="162"/>
      <c r="PSU50" s="162"/>
      <c r="PSV50" s="162"/>
      <c r="PSW50" s="162"/>
      <c r="PSX50" s="162"/>
      <c r="PSY50" s="162"/>
      <c r="PSZ50" s="162"/>
      <c r="PTA50" s="162"/>
      <c r="PTB50" s="162"/>
      <c r="PTC50" s="162"/>
      <c r="PTD50" s="162"/>
      <c r="PTE50" s="162"/>
      <c r="PTF50" s="162"/>
      <c r="PTG50" s="162"/>
      <c r="PTH50" s="162"/>
      <c r="PTI50" s="162"/>
      <c r="PTJ50" s="162"/>
      <c r="PTK50" s="162"/>
      <c r="PTL50" s="162"/>
      <c r="PTM50" s="162"/>
      <c r="PTN50" s="162"/>
      <c r="PTO50" s="162"/>
      <c r="PTP50" s="162"/>
      <c r="PTQ50" s="162"/>
      <c r="PTR50" s="162"/>
      <c r="PTS50" s="162"/>
      <c r="PTT50" s="162"/>
      <c r="PTU50" s="162"/>
      <c r="PTV50" s="162"/>
      <c r="PTW50" s="162"/>
      <c r="PTX50" s="162"/>
      <c r="PTY50" s="162"/>
      <c r="PTZ50" s="162"/>
      <c r="PUA50" s="162"/>
      <c r="PUB50" s="162"/>
      <c r="PUC50" s="162"/>
      <c r="PUD50" s="162"/>
      <c r="PUE50" s="162"/>
      <c r="PUF50" s="162"/>
      <c r="PUG50" s="162"/>
      <c r="PUH50" s="162"/>
      <c r="PUI50" s="162"/>
      <c r="PUJ50" s="162"/>
      <c r="PUK50" s="162"/>
      <c r="PUL50" s="162"/>
      <c r="PUM50" s="162"/>
      <c r="PUN50" s="162"/>
      <c r="PUO50" s="162"/>
      <c r="PUP50" s="162"/>
      <c r="PUQ50" s="162"/>
      <c r="PUR50" s="162"/>
      <c r="PUS50" s="162"/>
      <c r="PUT50" s="162"/>
      <c r="PUU50" s="162"/>
      <c r="PUV50" s="162"/>
      <c r="PUW50" s="162"/>
      <c r="PUX50" s="162"/>
      <c r="PUY50" s="162"/>
      <c r="PUZ50" s="162"/>
      <c r="PVA50" s="162"/>
      <c r="PVB50" s="162"/>
      <c r="PVC50" s="162"/>
      <c r="PVD50" s="162"/>
      <c r="PVE50" s="162"/>
      <c r="PVF50" s="162"/>
      <c r="PVG50" s="162"/>
      <c r="PVH50" s="162"/>
      <c r="PVI50" s="162"/>
      <c r="PVJ50" s="162"/>
      <c r="PVK50" s="162"/>
      <c r="PVL50" s="162"/>
      <c r="PVM50" s="162"/>
      <c r="PVN50" s="162"/>
      <c r="PVO50" s="162"/>
      <c r="PVP50" s="162"/>
      <c r="PVQ50" s="162"/>
      <c r="PVR50" s="162"/>
      <c r="PVS50" s="162"/>
      <c r="PVT50" s="162"/>
      <c r="PVU50" s="162"/>
      <c r="PVV50" s="162"/>
      <c r="PVW50" s="162"/>
      <c r="PVX50" s="162"/>
      <c r="PVY50" s="162"/>
      <c r="PVZ50" s="162"/>
      <c r="PWA50" s="162"/>
      <c r="PWB50" s="162"/>
      <c r="PWC50" s="162"/>
      <c r="PWD50" s="162"/>
      <c r="PWE50" s="162"/>
      <c r="PWF50" s="162"/>
      <c r="PWG50" s="162"/>
      <c r="PWH50" s="162"/>
      <c r="PWI50" s="162"/>
      <c r="PWJ50" s="162"/>
      <c r="PWK50" s="162"/>
      <c r="PWL50" s="162"/>
      <c r="PWM50" s="162"/>
      <c r="PWN50" s="162"/>
      <c r="PWO50" s="162"/>
      <c r="PWP50" s="162"/>
      <c r="PWQ50" s="162"/>
      <c r="PWR50" s="162"/>
      <c r="PWS50" s="162"/>
      <c r="PWT50" s="162"/>
      <c r="PWU50" s="162"/>
      <c r="PWV50" s="162"/>
      <c r="PWW50" s="162"/>
      <c r="PWX50" s="162"/>
      <c r="PWY50" s="162"/>
      <c r="PWZ50" s="162"/>
      <c r="PXA50" s="162"/>
      <c r="PXB50" s="162"/>
      <c r="PXC50" s="162"/>
      <c r="PXD50" s="162"/>
      <c r="PXE50" s="162"/>
      <c r="PXF50" s="162"/>
      <c r="PXG50" s="162"/>
      <c r="PXH50" s="162"/>
      <c r="PXI50" s="162"/>
      <c r="PXJ50" s="162"/>
      <c r="PXK50" s="162"/>
      <c r="PXL50" s="162"/>
      <c r="PXM50" s="162"/>
      <c r="PXN50" s="162"/>
      <c r="PXO50" s="162"/>
      <c r="PXP50" s="162"/>
      <c r="PXQ50" s="162"/>
      <c r="PXR50" s="162"/>
      <c r="PXS50" s="162"/>
      <c r="PXT50" s="162"/>
      <c r="PXU50" s="162"/>
      <c r="PXV50" s="162"/>
      <c r="PXW50" s="162"/>
      <c r="PXX50" s="162"/>
      <c r="PXY50" s="162"/>
      <c r="PXZ50" s="162"/>
      <c r="PYA50" s="162"/>
      <c r="PYB50" s="162"/>
      <c r="PYC50" s="162"/>
      <c r="PYD50" s="162"/>
      <c r="PYE50" s="162"/>
      <c r="PYF50" s="162"/>
      <c r="PYG50" s="162"/>
      <c r="PYH50" s="162"/>
      <c r="PYI50" s="162"/>
      <c r="PYJ50" s="162"/>
      <c r="PYK50" s="162"/>
      <c r="PYL50" s="162"/>
      <c r="PYM50" s="162"/>
      <c r="PYN50" s="162"/>
      <c r="PYO50" s="162"/>
      <c r="PYP50" s="162"/>
      <c r="PYQ50" s="162"/>
      <c r="PYR50" s="162"/>
      <c r="PYS50" s="162"/>
      <c r="PYT50" s="162"/>
      <c r="PYU50" s="162"/>
      <c r="PYV50" s="162"/>
      <c r="PYW50" s="162"/>
      <c r="PYX50" s="162"/>
      <c r="PYY50" s="162"/>
      <c r="PYZ50" s="162"/>
      <c r="PZA50" s="162"/>
      <c r="PZB50" s="162"/>
      <c r="PZC50" s="162"/>
      <c r="PZD50" s="162"/>
      <c r="PZE50" s="162"/>
      <c r="PZF50" s="162"/>
      <c r="PZG50" s="162"/>
      <c r="PZH50" s="162"/>
      <c r="PZI50" s="162"/>
      <c r="PZJ50" s="162"/>
      <c r="PZK50" s="162"/>
      <c r="PZL50" s="162"/>
      <c r="PZM50" s="162"/>
      <c r="PZN50" s="162"/>
      <c r="PZO50" s="162"/>
      <c r="PZP50" s="162"/>
      <c r="PZQ50" s="162"/>
      <c r="PZR50" s="162"/>
      <c r="PZS50" s="162"/>
      <c r="PZT50" s="162"/>
      <c r="PZU50" s="162"/>
      <c r="PZV50" s="162"/>
      <c r="PZW50" s="162"/>
      <c r="PZX50" s="162"/>
      <c r="PZY50" s="162"/>
      <c r="PZZ50" s="162"/>
      <c r="QAA50" s="162"/>
      <c r="QAB50" s="162"/>
      <c r="QAC50" s="162"/>
      <c r="QAD50" s="162"/>
      <c r="QAE50" s="162"/>
      <c r="QAF50" s="162"/>
      <c r="QAG50" s="162"/>
      <c r="QAH50" s="162"/>
      <c r="QAI50" s="162"/>
      <c r="QAJ50" s="162"/>
      <c r="QAK50" s="162"/>
      <c r="QAL50" s="162"/>
      <c r="QAM50" s="162"/>
      <c r="QAN50" s="162"/>
      <c r="QAO50" s="162"/>
      <c r="QAP50" s="162"/>
      <c r="QAQ50" s="162"/>
      <c r="QAR50" s="162"/>
      <c r="QAS50" s="162"/>
      <c r="QAT50" s="162"/>
      <c r="QAU50" s="162"/>
      <c r="QAV50" s="162"/>
      <c r="QAW50" s="162"/>
      <c r="QAX50" s="162"/>
      <c r="QAY50" s="162"/>
      <c r="QAZ50" s="162"/>
      <c r="QBA50" s="162"/>
      <c r="QBB50" s="162"/>
      <c r="QBC50" s="162"/>
      <c r="QBD50" s="162"/>
      <c r="QBE50" s="162"/>
      <c r="QBF50" s="162"/>
      <c r="QBG50" s="162"/>
      <c r="QBH50" s="162"/>
      <c r="QBI50" s="162"/>
      <c r="QBJ50" s="162"/>
      <c r="QBK50" s="162"/>
      <c r="QBL50" s="162"/>
      <c r="QBM50" s="162"/>
      <c r="QBN50" s="162"/>
      <c r="QBO50" s="162"/>
      <c r="QBP50" s="162"/>
      <c r="QBQ50" s="162"/>
      <c r="QBR50" s="162"/>
      <c r="QBS50" s="162"/>
      <c r="QBT50" s="162"/>
      <c r="QBU50" s="162"/>
      <c r="QBV50" s="162"/>
      <c r="QBW50" s="162"/>
      <c r="QBX50" s="162"/>
      <c r="QBY50" s="162"/>
      <c r="QBZ50" s="162"/>
      <c r="QCA50" s="162"/>
      <c r="QCB50" s="162"/>
      <c r="QCC50" s="162"/>
      <c r="QCD50" s="162"/>
      <c r="QCE50" s="162"/>
      <c r="QCF50" s="162"/>
      <c r="QCG50" s="162"/>
      <c r="QCH50" s="162"/>
      <c r="QCI50" s="162"/>
      <c r="QCJ50" s="162"/>
      <c r="QCK50" s="162"/>
      <c r="QCL50" s="162"/>
      <c r="QCM50" s="162"/>
      <c r="QCN50" s="162"/>
      <c r="QCO50" s="162"/>
      <c r="QCP50" s="162"/>
      <c r="QCQ50" s="162"/>
      <c r="QCR50" s="162"/>
      <c r="QCS50" s="162"/>
      <c r="QCT50" s="162"/>
      <c r="QCU50" s="162"/>
      <c r="QCV50" s="162"/>
      <c r="QCW50" s="162"/>
      <c r="QCX50" s="162"/>
      <c r="QCY50" s="162"/>
      <c r="QCZ50" s="162"/>
      <c r="QDA50" s="162"/>
      <c r="QDB50" s="162"/>
      <c r="QDC50" s="162"/>
      <c r="QDD50" s="162"/>
      <c r="QDE50" s="162"/>
      <c r="QDF50" s="162"/>
      <c r="QDG50" s="162"/>
      <c r="QDH50" s="162"/>
      <c r="QDI50" s="162"/>
      <c r="QDJ50" s="162"/>
      <c r="QDK50" s="162"/>
      <c r="QDL50" s="162"/>
      <c r="QDM50" s="162"/>
      <c r="QDN50" s="162"/>
      <c r="QDO50" s="162"/>
      <c r="QDP50" s="162"/>
      <c r="QDQ50" s="162"/>
      <c r="QDR50" s="162"/>
      <c r="QDS50" s="162"/>
      <c r="QDT50" s="162"/>
      <c r="QDU50" s="162"/>
      <c r="QDV50" s="162"/>
      <c r="QDW50" s="162"/>
      <c r="QDX50" s="162"/>
      <c r="QDY50" s="162"/>
      <c r="QDZ50" s="162"/>
      <c r="QEA50" s="162"/>
      <c r="QEB50" s="162"/>
      <c r="QEC50" s="162"/>
      <c r="QED50" s="162"/>
      <c r="QEE50" s="162"/>
      <c r="QEF50" s="162"/>
      <c r="QEG50" s="162"/>
      <c r="QEH50" s="162"/>
      <c r="QEI50" s="162"/>
      <c r="QEJ50" s="162"/>
      <c r="QEK50" s="162"/>
      <c r="QEL50" s="162"/>
      <c r="QEM50" s="162"/>
      <c r="QEN50" s="162"/>
      <c r="QEO50" s="162"/>
      <c r="QEP50" s="162"/>
      <c r="QEQ50" s="162"/>
      <c r="QER50" s="162"/>
      <c r="QES50" s="162"/>
      <c r="QET50" s="162"/>
      <c r="QEU50" s="162"/>
      <c r="QEV50" s="162"/>
      <c r="QEW50" s="162"/>
      <c r="QEX50" s="162"/>
      <c r="QEY50" s="162"/>
      <c r="QEZ50" s="162"/>
      <c r="QFA50" s="162"/>
      <c r="QFB50" s="162"/>
      <c r="QFC50" s="162"/>
      <c r="QFD50" s="162"/>
      <c r="QFE50" s="162"/>
      <c r="QFF50" s="162"/>
      <c r="QFG50" s="162"/>
      <c r="QFH50" s="162"/>
      <c r="QFI50" s="162"/>
      <c r="QFJ50" s="162"/>
      <c r="QFK50" s="162"/>
      <c r="QFL50" s="162"/>
      <c r="QFM50" s="162"/>
      <c r="QFN50" s="162"/>
      <c r="QFO50" s="162"/>
      <c r="QFP50" s="162"/>
      <c r="QFQ50" s="162"/>
      <c r="QFR50" s="162"/>
      <c r="QFS50" s="162"/>
      <c r="QFT50" s="162"/>
      <c r="QFU50" s="162"/>
      <c r="QFV50" s="162"/>
      <c r="QFW50" s="162"/>
      <c r="QFX50" s="162"/>
      <c r="QFY50" s="162"/>
      <c r="QFZ50" s="162"/>
      <c r="QGA50" s="162"/>
      <c r="QGB50" s="162"/>
      <c r="QGC50" s="162"/>
      <c r="QGD50" s="162"/>
      <c r="QGE50" s="162"/>
      <c r="QGF50" s="162"/>
      <c r="QGG50" s="162"/>
      <c r="QGH50" s="162"/>
      <c r="QGI50" s="162"/>
      <c r="QGJ50" s="162"/>
      <c r="QGK50" s="162"/>
      <c r="QGL50" s="162"/>
      <c r="QGM50" s="162"/>
      <c r="QGN50" s="162"/>
      <c r="QGO50" s="162"/>
      <c r="QGP50" s="162"/>
      <c r="QGQ50" s="162"/>
      <c r="QGR50" s="162"/>
      <c r="QGS50" s="162"/>
      <c r="QGT50" s="162"/>
      <c r="QGU50" s="162"/>
      <c r="QGV50" s="162"/>
      <c r="QGW50" s="162"/>
      <c r="QGX50" s="162"/>
      <c r="QGY50" s="162"/>
      <c r="QGZ50" s="162"/>
      <c r="QHA50" s="162"/>
      <c r="QHB50" s="162"/>
      <c r="QHC50" s="162"/>
      <c r="QHD50" s="162"/>
      <c r="QHE50" s="162"/>
      <c r="QHF50" s="162"/>
      <c r="QHG50" s="162"/>
      <c r="QHH50" s="162"/>
      <c r="QHI50" s="162"/>
      <c r="QHJ50" s="162"/>
      <c r="QHK50" s="162"/>
      <c r="QHL50" s="162"/>
      <c r="QHM50" s="162"/>
      <c r="QHN50" s="162"/>
      <c r="QHO50" s="162"/>
      <c r="QHP50" s="162"/>
      <c r="QHQ50" s="162"/>
      <c r="QHR50" s="162"/>
      <c r="QHS50" s="162"/>
      <c r="QHT50" s="162"/>
      <c r="QHU50" s="162"/>
      <c r="QHV50" s="162"/>
      <c r="QHW50" s="162"/>
      <c r="QHX50" s="162"/>
      <c r="QHY50" s="162"/>
      <c r="QHZ50" s="162"/>
      <c r="QIA50" s="162"/>
      <c r="QIB50" s="162"/>
      <c r="QIC50" s="162"/>
      <c r="QID50" s="162"/>
      <c r="QIE50" s="162"/>
      <c r="QIF50" s="162"/>
      <c r="QIG50" s="162"/>
      <c r="QIH50" s="162"/>
      <c r="QII50" s="162"/>
      <c r="QIJ50" s="162"/>
      <c r="QIK50" s="162"/>
      <c r="QIL50" s="162"/>
      <c r="QIM50" s="162"/>
      <c r="QIN50" s="162"/>
      <c r="QIO50" s="162"/>
      <c r="QIP50" s="162"/>
      <c r="QIQ50" s="162"/>
      <c r="QIR50" s="162"/>
      <c r="QIS50" s="162"/>
      <c r="QIT50" s="162"/>
      <c r="QIU50" s="162"/>
      <c r="QIV50" s="162"/>
      <c r="QIW50" s="162"/>
      <c r="QIX50" s="162"/>
      <c r="QIY50" s="162"/>
      <c r="QIZ50" s="162"/>
      <c r="QJA50" s="162"/>
      <c r="QJB50" s="162"/>
      <c r="QJC50" s="162"/>
      <c r="QJD50" s="162"/>
      <c r="QJE50" s="162"/>
      <c r="QJF50" s="162"/>
      <c r="QJG50" s="162"/>
      <c r="QJH50" s="162"/>
      <c r="QJI50" s="162"/>
      <c r="QJJ50" s="162"/>
      <c r="QJK50" s="162"/>
      <c r="QJL50" s="162"/>
      <c r="QJM50" s="162"/>
      <c r="QJN50" s="162"/>
      <c r="QJO50" s="162"/>
      <c r="QJP50" s="162"/>
      <c r="QJQ50" s="162"/>
      <c r="QJR50" s="162"/>
      <c r="QJS50" s="162"/>
      <c r="QJT50" s="162"/>
      <c r="QJU50" s="162"/>
      <c r="QJV50" s="162"/>
      <c r="QJW50" s="162"/>
      <c r="QJX50" s="162"/>
      <c r="QJY50" s="162"/>
      <c r="QJZ50" s="162"/>
      <c r="QKA50" s="162"/>
      <c r="QKB50" s="162"/>
      <c r="QKC50" s="162"/>
      <c r="QKD50" s="162"/>
      <c r="QKE50" s="162"/>
      <c r="QKF50" s="162"/>
      <c r="QKG50" s="162"/>
      <c r="QKH50" s="162"/>
      <c r="QKI50" s="162"/>
      <c r="QKJ50" s="162"/>
      <c r="QKK50" s="162"/>
      <c r="QKL50" s="162"/>
      <c r="QKM50" s="162"/>
      <c r="QKN50" s="162"/>
      <c r="QKO50" s="162"/>
      <c r="QKP50" s="162"/>
      <c r="QKQ50" s="162"/>
      <c r="QKR50" s="162"/>
      <c r="QKS50" s="162"/>
      <c r="QKT50" s="162"/>
      <c r="QKU50" s="162"/>
      <c r="QKV50" s="162"/>
      <c r="QKW50" s="162"/>
      <c r="QKX50" s="162"/>
      <c r="QKY50" s="162"/>
      <c r="QKZ50" s="162"/>
      <c r="QLA50" s="162"/>
      <c r="QLB50" s="162"/>
      <c r="QLC50" s="162"/>
      <c r="QLD50" s="162"/>
      <c r="QLE50" s="162"/>
      <c r="QLF50" s="162"/>
      <c r="QLG50" s="162"/>
      <c r="QLH50" s="162"/>
      <c r="QLI50" s="162"/>
      <c r="QLJ50" s="162"/>
      <c r="QLK50" s="162"/>
      <c r="QLL50" s="162"/>
      <c r="QLM50" s="162"/>
      <c r="QLN50" s="162"/>
      <c r="QLO50" s="162"/>
      <c r="QLP50" s="162"/>
      <c r="QLQ50" s="162"/>
      <c r="QLR50" s="162"/>
      <c r="QLS50" s="162"/>
      <c r="QLT50" s="162"/>
      <c r="QLU50" s="162"/>
      <c r="QLV50" s="162"/>
      <c r="QLW50" s="162"/>
      <c r="QLX50" s="162"/>
      <c r="QLY50" s="162"/>
      <c r="QLZ50" s="162"/>
      <c r="QMA50" s="162"/>
      <c r="QMB50" s="162"/>
      <c r="QMC50" s="162"/>
      <c r="QMD50" s="162"/>
      <c r="QME50" s="162"/>
      <c r="QMF50" s="162"/>
      <c r="QMG50" s="162"/>
      <c r="QMH50" s="162"/>
      <c r="QMI50" s="162"/>
      <c r="QMJ50" s="162"/>
      <c r="QMK50" s="162"/>
      <c r="QML50" s="162"/>
      <c r="QMM50" s="162"/>
      <c r="QMN50" s="162"/>
      <c r="QMO50" s="162"/>
      <c r="QMP50" s="162"/>
      <c r="QMQ50" s="162"/>
      <c r="QMR50" s="162"/>
      <c r="QMS50" s="162"/>
      <c r="QMT50" s="162"/>
      <c r="QMU50" s="162"/>
      <c r="QMV50" s="162"/>
      <c r="QMW50" s="162"/>
      <c r="QMX50" s="162"/>
      <c r="QMY50" s="162"/>
      <c r="QMZ50" s="162"/>
      <c r="QNA50" s="162"/>
      <c r="QNB50" s="162"/>
      <c r="QNC50" s="162"/>
      <c r="QND50" s="162"/>
      <c r="QNE50" s="162"/>
      <c r="QNF50" s="162"/>
      <c r="QNG50" s="162"/>
      <c r="QNH50" s="162"/>
      <c r="QNI50" s="162"/>
      <c r="QNJ50" s="162"/>
      <c r="QNK50" s="162"/>
      <c r="QNL50" s="162"/>
      <c r="QNM50" s="162"/>
      <c r="QNN50" s="162"/>
      <c r="QNO50" s="162"/>
      <c r="QNP50" s="162"/>
      <c r="QNQ50" s="162"/>
      <c r="QNR50" s="162"/>
      <c r="QNS50" s="162"/>
      <c r="QNT50" s="162"/>
      <c r="QNU50" s="162"/>
      <c r="QNV50" s="162"/>
      <c r="QNW50" s="162"/>
      <c r="QNX50" s="162"/>
      <c r="QNY50" s="162"/>
      <c r="QNZ50" s="162"/>
      <c r="QOA50" s="162"/>
      <c r="QOB50" s="162"/>
      <c r="QOC50" s="162"/>
      <c r="QOD50" s="162"/>
      <c r="QOE50" s="162"/>
      <c r="QOF50" s="162"/>
      <c r="QOG50" s="162"/>
      <c r="QOH50" s="162"/>
      <c r="QOI50" s="162"/>
      <c r="QOJ50" s="162"/>
      <c r="QOK50" s="162"/>
      <c r="QOL50" s="162"/>
      <c r="QOM50" s="162"/>
      <c r="QON50" s="162"/>
      <c r="QOO50" s="162"/>
      <c r="QOP50" s="162"/>
      <c r="QOQ50" s="162"/>
      <c r="QOR50" s="162"/>
      <c r="QOS50" s="162"/>
      <c r="QOT50" s="162"/>
      <c r="QOU50" s="162"/>
      <c r="QOV50" s="162"/>
      <c r="QOW50" s="162"/>
      <c r="QOX50" s="162"/>
      <c r="QOY50" s="162"/>
      <c r="QOZ50" s="162"/>
      <c r="QPA50" s="162"/>
      <c r="QPB50" s="162"/>
      <c r="QPC50" s="162"/>
      <c r="QPD50" s="162"/>
      <c r="QPE50" s="162"/>
      <c r="QPF50" s="162"/>
      <c r="QPG50" s="162"/>
      <c r="QPH50" s="162"/>
      <c r="QPI50" s="162"/>
      <c r="QPJ50" s="162"/>
      <c r="QPK50" s="162"/>
      <c r="QPL50" s="162"/>
      <c r="QPM50" s="162"/>
      <c r="QPN50" s="162"/>
      <c r="QPO50" s="162"/>
      <c r="QPP50" s="162"/>
      <c r="QPQ50" s="162"/>
      <c r="QPR50" s="162"/>
      <c r="QPS50" s="162"/>
      <c r="QPT50" s="162"/>
      <c r="QPU50" s="162"/>
      <c r="QPV50" s="162"/>
      <c r="QPW50" s="162"/>
      <c r="QPX50" s="162"/>
      <c r="QPY50" s="162"/>
      <c r="QPZ50" s="162"/>
      <c r="QQA50" s="162"/>
      <c r="QQB50" s="162"/>
      <c r="QQC50" s="162"/>
      <c r="QQD50" s="162"/>
      <c r="QQE50" s="162"/>
      <c r="QQF50" s="162"/>
      <c r="QQG50" s="162"/>
      <c r="QQH50" s="162"/>
      <c r="QQI50" s="162"/>
      <c r="QQJ50" s="162"/>
      <c r="QQK50" s="162"/>
      <c r="QQL50" s="162"/>
      <c r="QQM50" s="162"/>
      <c r="QQN50" s="162"/>
      <c r="QQO50" s="162"/>
      <c r="QQP50" s="162"/>
      <c r="QQQ50" s="162"/>
      <c r="QQR50" s="162"/>
      <c r="QQS50" s="162"/>
      <c r="QQT50" s="162"/>
      <c r="QQU50" s="162"/>
      <c r="QQV50" s="162"/>
      <c r="QQW50" s="162"/>
      <c r="QQX50" s="162"/>
      <c r="QQY50" s="162"/>
      <c r="QQZ50" s="162"/>
      <c r="QRA50" s="162"/>
      <c r="QRB50" s="162"/>
      <c r="QRC50" s="162"/>
      <c r="QRD50" s="162"/>
      <c r="QRE50" s="162"/>
      <c r="QRF50" s="162"/>
      <c r="QRG50" s="162"/>
      <c r="QRH50" s="162"/>
      <c r="QRI50" s="162"/>
      <c r="QRJ50" s="162"/>
      <c r="QRK50" s="162"/>
      <c r="QRL50" s="162"/>
      <c r="QRM50" s="162"/>
      <c r="QRN50" s="162"/>
      <c r="QRO50" s="162"/>
      <c r="QRP50" s="162"/>
      <c r="QRQ50" s="162"/>
      <c r="QRR50" s="162"/>
      <c r="QRS50" s="162"/>
      <c r="QRT50" s="162"/>
      <c r="QRU50" s="162"/>
      <c r="QRV50" s="162"/>
      <c r="QRW50" s="162"/>
      <c r="QRX50" s="162"/>
      <c r="QRY50" s="162"/>
      <c r="QRZ50" s="162"/>
      <c r="QSA50" s="162"/>
      <c r="QSB50" s="162"/>
      <c r="QSC50" s="162"/>
      <c r="QSD50" s="162"/>
      <c r="QSE50" s="162"/>
      <c r="QSF50" s="162"/>
      <c r="QSG50" s="162"/>
      <c r="QSH50" s="162"/>
      <c r="QSI50" s="162"/>
      <c r="QSJ50" s="162"/>
      <c r="QSK50" s="162"/>
      <c r="QSL50" s="162"/>
      <c r="QSM50" s="162"/>
      <c r="QSN50" s="162"/>
      <c r="QSO50" s="162"/>
      <c r="QSP50" s="162"/>
      <c r="QSQ50" s="162"/>
      <c r="QSR50" s="162"/>
      <c r="QSS50" s="162"/>
      <c r="QST50" s="162"/>
      <c r="QSU50" s="162"/>
      <c r="QSV50" s="162"/>
      <c r="QSW50" s="162"/>
      <c r="QSX50" s="162"/>
      <c r="QSY50" s="162"/>
      <c r="QSZ50" s="162"/>
      <c r="QTA50" s="162"/>
      <c r="QTB50" s="162"/>
      <c r="QTC50" s="162"/>
      <c r="QTD50" s="162"/>
      <c r="QTE50" s="162"/>
      <c r="QTF50" s="162"/>
      <c r="QTG50" s="162"/>
      <c r="QTH50" s="162"/>
      <c r="QTI50" s="162"/>
      <c r="QTJ50" s="162"/>
      <c r="QTK50" s="162"/>
      <c r="QTL50" s="162"/>
      <c r="QTM50" s="162"/>
      <c r="QTN50" s="162"/>
      <c r="QTO50" s="162"/>
      <c r="QTP50" s="162"/>
      <c r="QTQ50" s="162"/>
      <c r="QTR50" s="162"/>
      <c r="QTS50" s="162"/>
      <c r="QTT50" s="162"/>
      <c r="QTU50" s="162"/>
      <c r="QTV50" s="162"/>
      <c r="QTW50" s="162"/>
      <c r="QTX50" s="162"/>
      <c r="QTY50" s="162"/>
      <c r="QTZ50" s="162"/>
      <c r="QUA50" s="162"/>
      <c r="QUB50" s="162"/>
      <c r="QUC50" s="162"/>
      <c r="QUD50" s="162"/>
      <c r="QUE50" s="162"/>
      <c r="QUF50" s="162"/>
      <c r="QUG50" s="162"/>
      <c r="QUH50" s="162"/>
      <c r="QUI50" s="162"/>
      <c r="QUJ50" s="162"/>
      <c r="QUK50" s="162"/>
      <c r="QUL50" s="162"/>
      <c r="QUM50" s="162"/>
      <c r="QUN50" s="162"/>
      <c r="QUO50" s="162"/>
      <c r="QUP50" s="162"/>
      <c r="QUQ50" s="162"/>
      <c r="QUR50" s="162"/>
      <c r="QUS50" s="162"/>
      <c r="QUT50" s="162"/>
      <c r="QUU50" s="162"/>
      <c r="QUV50" s="162"/>
      <c r="QUW50" s="162"/>
      <c r="QUX50" s="162"/>
      <c r="QUY50" s="162"/>
      <c r="QUZ50" s="162"/>
      <c r="QVA50" s="162"/>
      <c r="QVB50" s="162"/>
      <c r="QVC50" s="162"/>
      <c r="QVD50" s="162"/>
      <c r="QVE50" s="162"/>
      <c r="QVF50" s="162"/>
      <c r="QVG50" s="162"/>
      <c r="QVH50" s="162"/>
      <c r="QVI50" s="162"/>
      <c r="QVJ50" s="162"/>
      <c r="QVK50" s="162"/>
      <c r="QVL50" s="162"/>
      <c r="QVM50" s="162"/>
      <c r="QVN50" s="162"/>
      <c r="QVO50" s="162"/>
      <c r="QVP50" s="162"/>
      <c r="QVQ50" s="162"/>
      <c r="QVR50" s="162"/>
      <c r="QVS50" s="162"/>
      <c r="QVT50" s="162"/>
      <c r="QVU50" s="162"/>
      <c r="QVV50" s="162"/>
      <c r="QVW50" s="162"/>
      <c r="QVX50" s="162"/>
      <c r="QVY50" s="162"/>
      <c r="QVZ50" s="162"/>
      <c r="QWA50" s="162"/>
      <c r="QWB50" s="162"/>
      <c r="QWC50" s="162"/>
      <c r="QWD50" s="162"/>
      <c r="QWE50" s="162"/>
      <c r="QWF50" s="162"/>
      <c r="QWG50" s="162"/>
      <c r="QWH50" s="162"/>
      <c r="QWI50" s="162"/>
      <c r="QWJ50" s="162"/>
      <c r="QWK50" s="162"/>
      <c r="QWL50" s="162"/>
      <c r="QWM50" s="162"/>
      <c r="QWN50" s="162"/>
      <c r="QWO50" s="162"/>
      <c r="QWP50" s="162"/>
      <c r="QWQ50" s="162"/>
      <c r="QWR50" s="162"/>
      <c r="QWS50" s="162"/>
      <c r="QWT50" s="162"/>
      <c r="QWU50" s="162"/>
      <c r="QWV50" s="162"/>
      <c r="QWW50" s="162"/>
      <c r="QWX50" s="162"/>
      <c r="QWY50" s="162"/>
      <c r="QWZ50" s="162"/>
      <c r="QXA50" s="162"/>
      <c r="QXB50" s="162"/>
      <c r="QXC50" s="162"/>
      <c r="QXD50" s="162"/>
      <c r="QXE50" s="162"/>
      <c r="QXF50" s="162"/>
      <c r="QXG50" s="162"/>
      <c r="QXH50" s="162"/>
      <c r="QXI50" s="162"/>
      <c r="QXJ50" s="162"/>
      <c r="QXK50" s="162"/>
      <c r="QXL50" s="162"/>
      <c r="QXM50" s="162"/>
      <c r="QXN50" s="162"/>
      <c r="QXO50" s="162"/>
      <c r="QXP50" s="162"/>
      <c r="QXQ50" s="162"/>
      <c r="QXR50" s="162"/>
      <c r="QXS50" s="162"/>
      <c r="QXT50" s="162"/>
      <c r="QXU50" s="162"/>
      <c r="QXV50" s="162"/>
      <c r="QXW50" s="162"/>
      <c r="QXX50" s="162"/>
      <c r="QXY50" s="162"/>
      <c r="QXZ50" s="162"/>
      <c r="QYA50" s="162"/>
      <c r="QYB50" s="162"/>
      <c r="QYC50" s="162"/>
      <c r="QYD50" s="162"/>
      <c r="QYE50" s="162"/>
      <c r="QYF50" s="162"/>
      <c r="QYG50" s="162"/>
      <c r="QYH50" s="162"/>
      <c r="QYI50" s="162"/>
      <c r="QYJ50" s="162"/>
      <c r="QYK50" s="162"/>
      <c r="QYL50" s="162"/>
      <c r="QYM50" s="162"/>
      <c r="QYN50" s="162"/>
      <c r="QYO50" s="162"/>
      <c r="QYP50" s="162"/>
      <c r="QYQ50" s="162"/>
      <c r="QYR50" s="162"/>
      <c r="QYS50" s="162"/>
      <c r="QYT50" s="162"/>
      <c r="QYU50" s="162"/>
      <c r="QYV50" s="162"/>
      <c r="QYW50" s="162"/>
      <c r="QYX50" s="162"/>
      <c r="QYY50" s="162"/>
      <c r="QYZ50" s="162"/>
      <c r="QZA50" s="162"/>
      <c r="QZB50" s="162"/>
      <c r="QZC50" s="162"/>
      <c r="QZD50" s="162"/>
      <c r="QZE50" s="162"/>
      <c r="QZF50" s="162"/>
      <c r="QZG50" s="162"/>
      <c r="QZH50" s="162"/>
      <c r="QZI50" s="162"/>
      <c r="QZJ50" s="162"/>
      <c r="QZK50" s="162"/>
      <c r="QZL50" s="162"/>
      <c r="QZM50" s="162"/>
      <c r="QZN50" s="162"/>
      <c r="QZO50" s="162"/>
      <c r="QZP50" s="162"/>
      <c r="QZQ50" s="162"/>
      <c r="QZR50" s="162"/>
      <c r="QZS50" s="162"/>
      <c r="QZT50" s="162"/>
      <c r="QZU50" s="162"/>
      <c r="QZV50" s="162"/>
      <c r="QZW50" s="162"/>
      <c r="QZX50" s="162"/>
      <c r="QZY50" s="162"/>
      <c r="QZZ50" s="162"/>
      <c r="RAA50" s="162"/>
      <c r="RAB50" s="162"/>
      <c r="RAC50" s="162"/>
      <c r="RAD50" s="162"/>
      <c r="RAE50" s="162"/>
      <c r="RAF50" s="162"/>
      <c r="RAG50" s="162"/>
      <c r="RAH50" s="162"/>
      <c r="RAI50" s="162"/>
      <c r="RAJ50" s="162"/>
      <c r="RAK50" s="162"/>
      <c r="RAL50" s="162"/>
      <c r="RAM50" s="162"/>
      <c r="RAN50" s="162"/>
      <c r="RAO50" s="162"/>
      <c r="RAP50" s="162"/>
      <c r="RAQ50" s="162"/>
      <c r="RAR50" s="162"/>
      <c r="RAS50" s="162"/>
      <c r="RAT50" s="162"/>
      <c r="RAU50" s="162"/>
      <c r="RAV50" s="162"/>
      <c r="RAW50" s="162"/>
      <c r="RAX50" s="162"/>
      <c r="RAY50" s="162"/>
      <c r="RAZ50" s="162"/>
      <c r="RBA50" s="162"/>
      <c r="RBB50" s="162"/>
      <c r="RBC50" s="162"/>
      <c r="RBD50" s="162"/>
      <c r="RBE50" s="162"/>
      <c r="RBF50" s="162"/>
      <c r="RBG50" s="162"/>
      <c r="RBH50" s="162"/>
      <c r="RBI50" s="162"/>
      <c r="RBJ50" s="162"/>
      <c r="RBK50" s="162"/>
      <c r="RBL50" s="162"/>
      <c r="RBM50" s="162"/>
      <c r="RBN50" s="162"/>
      <c r="RBO50" s="162"/>
      <c r="RBP50" s="162"/>
      <c r="RBQ50" s="162"/>
      <c r="RBR50" s="162"/>
      <c r="RBS50" s="162"/>
      <c r="RBT50" s="162"/>
      <c r="RBU50" s="162"/>
      <c r="RBV50" s="162"/>
      <c r="RBW50" s="162"/>
      <c r="RBX50" s="162"/>
      <c r="RBY50" s="162"/>
      <c r="RBZ50" s="162"/>
      <c r="RCA50" s="162"/>
      <c r="RCB50" s="162"/>
      <c r="RCC50" s="162"/>
      <c r="RCD50" s="162"/>
      <c r="RCE50" s="162"/>
      <c r="RCF50" s="162"/>
      <c r="RCG50" s="162"/>
      <c r="RCH50" s="162"/>
      <c r="RCI50" s="162"/>
      <c r="RCJ50" s="162"/>
      <c r="RCK50" s="162"/>
      <c r="RCL50" s="162"/>
      <c r="RCM50" s="162"/>
      <c r="RCN50" s="162"/>
      <c r="RCO50" s="162"/>
      <c r="RCP50" s="162"/>
      <c r="RCQ50" s="162"/>
      <c r="RCR50" s="162"/>
      <c r="RCS50" s="162"/>
      <c r="RCT50" s="162"/>
      <c r="RCU50" s="162"/>
      <c r="RCV50" s="162"/>
      <c r="RCW50" s="162"/>
      <c r="RCX50" s="162"/>
      <c r="RCY50" s="162"/>
      <c r="RCZ50" s="162"/>
      <c r="RDA50" s="162"/>
      <c r="RDB50" s="162"/>
      <c r="RDC50" s="162"/>
      <c r="RDD50" s="162"/>
      <c r="RDE50" s="162"/>
      <c r="RDF50" s="162"/>
      <c r="RDG50" s="162"/>
      <c r="RDH50" s="162"/>
      <c r="RDI50" s="162"/>
      <c r="RDJ50" s="162"/>
      <c r="RDK50" s="162"/>
      <c r="RDL50" s="162"/>
      <c r="RDM50" s="162"/>
      <c r="RDN50" s="162"/>
      <c r="RDO50" s="162"/>
      <c r="RDP50" s="162"/>
      <c r="RDQ50" s="162"/>
      <c r="RDR50" s="162"/>
      <c r="RDS50" s="162"/>
      <c r="RDT50" s="162"/>
      <c r="RDU50" s="162"/>
      <c r="RDV50" s="162"/>
      <c r="RDW50" s="162"/>
      <c r="RDX50" s="162"/>
      <c r="RDY50" s="162"/>
      <c r="RDZ50" s="162"/>
      <c r="REA50" s="162"/>
      <c r="REB50" s="162"/>
      <c r="REC50" s="162"/>
      <c r="RED50" s="162"/>
      <c r="REE50" s="162"/>
      <c r="REF50" s="162"/>
      <c r="REG50" s="162"/>
      <c r="REH50" s="162"/>
      <c r="REI50" s="162"/>
      <c r="REJ50" s="162"/>
      <c r="REK50" s="162"/>
      <c r="REL50" s="162"/>
      <c r="REM50" s="162"/>
      <c r="REN50" s="162"/>
      <c r="REO50" s="162"/>
      <c r="REP50" s="162"/>
      <c r="REQ50" s="162"/>
      <c r="RER50" s="162"/>
      <c r="RES50" s="162"/>
      <c r="RET50" s="162"/>
      <c r="REU50" s="162"/>
      <c r="REV50" s="162"/>
      <c r="REW50" s="162"/>
      <c r="REX50" s="162"/>
      <c r="REY50" s="162"/>
      <c r="REZ50" s="162"/>
      <c r="RFA50" s="162"/>
      <c r="RFB50" s="162"/>
      <c r="RFC50" s="162"/>
      <c r="RFD50" s="162"/>
      <c r="RFE50" s="162"/>
      <c r="RFF50" s="162"/>
      <c r="RFG50" s="162"/>
      <c r="RFH50" s="162"/>
      <c r="RFI50" s="162"/>
      <c r="RFJ50" s="162"/>
      <c r="RFK50" s="162"/>
      <c r="RFL50" s="162"/>
      <c r="RFM50" s="162"/>
      <c r="RFN50" s="162"/>
      <c r="RFO50" s="162"/>
      <c r="RFP50" s="162"/>
      <c r="RFQ50" s="162"/>
      <c r="RFR50" s="162"/>
      <c r="RFS50" s="162"/>
      <c r="RFT50" s="162"/>
      <c r="RFU50" s="162"/>
      <c r="RFV50" s="162"/>
      <c r="RFW50" s="162"/>
      <c r="RFX50" s="162"/>
      <c r="RFY50" s="162"/>
      <c r="RFZ50" s="162"/>
      <c r="RGA50" s="162"/>
      <c r="RGB50" s="162"/>
      <c r="RGC50" s="162"/>
      <c r="RGD50" s="162"/>
      <c r="RGE50" s="162"/>
      <c r="RGF50" s="162"/>
      <c r="RGG50" s="162"/>
      <c r="RGH50" s="162"/>
      <c r="RGI50" s="162"/>
      <c r="RGJ50" s="162"/>
      <c r="RGK50" s="162"/>
      <c r="RGL50" s="162"/>
      <c r="RGM50" s="162"/>
      <c r="RGN50" s="162"/>
      <c r="RGO50" s="162"/>
      <c r="RGP50" s="162"/>
      <c r="RGQ50" s="162"/>
      <c r="RGR50" s="162"/>
      <c r="RGS50" s="162"/>
      <c r="RGT50" s="162"/>
      <c r="RGU50" s="162"/>
      <c r="RGV50" s="162"/>
      <c r="RGW50" s="162"/>
      <c r="RGX50" s="162"/>
      <c r="RGY50" s="162"/>
      <c r="RGZ50" s="162"/>
      <c r="RHA50" s="162"/>
      <c r="RHB50" s="162"/>
      <c r="RHC50" s="162"/>
      <c r="RHD50" s="162"/>
      <c r="RHE50" s="162"/>
      <c r="RHF50" s="162"/>
      <c r="RHG50" s="162"/>
      <c r="RHH50" s="162"/>
      <c r="RHI50" s="162"/>
      <c r="RHJ50" s="162"/>
      <c r="RHK50" s="162"/>
      <c r="RHL50" s="162"/>
      <c r="RHM50" s="162"/>
      <c r="RHN50" s="162"/>
      <c r="RHO50" s="162"/>
      <c r="RHP50" s="162"/>
      <c r="RHQ50" s="162"/>
      <c r="RHR50" s="162"/>
      <c r="RHS50" s="162"/>
      <c r="RHT50" s="162"/>
      <c r="RHU50" s="162"/>
      <c r="RHV50" s="162"/>
      <c r="RHW50" s="162"/>
      <c r="RHX50" s="162"/>
      <c r="RHY50" s="162"/>
      <c r="RHZ50" s="162"/>
      <c r="RIA50" s="162"/>
      <c r="RIB50" s="162"/>
      <c r="RIC50" s="162"/>
      <c r="RID50" s="162"/>
      <c r="RIE50" s="162"/>
      <c r="RIF50" s="162"/>
      <c r="RIG50" s="162"/>
      <c r="RIH50" s="162"/>
      <c r="RII50" s="162"/>
      <c r="RIJ50" s="162"/>
      <c r="RIK50" s="162"/>
      <c r="RIL50" s="162"/>
      <c r="RIM50" s="162"/>
      <c r="RIN50" s="162"/>
      <c r="RIO50" s="162"/>
      <c r="RIP50" s="162"/>
      <c r="RIQ50" s="162"/>
      <c r="RIR50" s="162"/>
      <c r="RIS50" s="162"/>
      <c r="RIT50" s="162"/>
      <c r="RIU50" s="162"/>
      <c r="RIV50" s="162"/>
      <c r="RIW50" s="162"/>
      <c r="RIX50" s="162"/>
      <c r="RIY50" s="162"/>
      <c r="RIZ50" s="162"/>
      <c r="RJA50" s="162"/>
      <c r="RJB50" s="162"/>
      <c r="RJC50" s="162"/>
      <c r="RJD50" s="162"/>
      <c r="RJE50" s="162"/>
      <c r="RJF50" s="162"/>
      <c r="RJG50" s="162"/>
      <c r="RJH50" s="162"/>
      <c r="RJI50" s="162"/>
      <c r="RJJ50" s="162"/>
      <c r="RJK50" s="162"/>
      <c r="RJL50" s="162"/>
      <c r="RJM50" s="162"/>
      <c r="RJN50" s="162"/>
      <c r="RJO50" s="162"/>
      <c r="RJP50" s="162"/>
      <c r="RJQ50" s="162"/>
      <c r="RJR50" s="162"/>
      <c r="RJS50" s="162"/>
      <c r="RJT50" s="162"/>
      <c r="RJU50" s="162"/>
      <c r="RJV50" s="162"/>
      <c r="RJW50" s="162"/>
      <c r="RJX50" s="162"/>
      <c r="RJY50" s="162"/>
      <c r="RJZ50" s="162"/>
      <c r="RKA50" s="162"/>
      <c r="RKB50" s="162"/>
      <c r="RKC50" s="162"/>
      <c r="RKD50" s="162"/>
      <c r="RKE50" s="162"/>
      <c r="RKF50" s="162"/>
      <c r="RKG50" s="162"/>
      <c r="RKH50" s="162"/>
      <c r="RKI50" s="162"/>
      <c r="RKJ50" s="162"/>
      <c r="RKK50" s="162"/>
      <c r="RKL50" s="162"/>
      <c r="RKM50" s="162"/>
      <c r="RKN50" s="162"/>
      <c r="RKO50" s="162"/>
      <c r="RKP50" s="162"/>
      <c r="RKQ50" s="162"/>
      <c r="RKR50" s="162"/>
      <c r="RKS50" s="162"/>
      <c r="RKT50" s="162"/>
      <c r="RKU50" s="162"/>
      <c r="RKV50" s="162"/>
      <c r="RKW50" s="162"/>
      <c r="RKX50" s="162"/>
      <c r="RKY50" s="162"/>
      <c r="RKZ50" s="162"/>
      <c r="RLA50" s="162"/>
      <c r="RLB50" s="162"/>
      <c r="RLC50" s="162"/>
      <c r="RLD50" s="162"/>
      <c r="RLE50" s="162"/>
      <c r="RLF50" s="162"/>
      <c r="RLG50" s="162"/>
      <c r="RLH50" s="162"/>
      <c r="RLI50" s="162"/>
      <c r="RLJ50" s="162"/>
      <c r="RLK50" s="162"/>
      <c r="RLL50" s="162"/>
      <c r="RLM50" s="162"/>
      <c r="RLN50" s="162"/>
      <c r="RLO50" s="162"/>
      <c r="RLP50" s="162"/>
      <c r="RLQ50" s="162"/>
      <c r="RLR50" s="162"/>
      <c r="RLS50" s="162"/>
      <c r="RLT50" s="162"/>
      <c r="RLU50" s="162"/>
      <c r="RLV50" s="162"/>
      <c r="RLW50" s="162"/>
      <c r="RLX50" s="162"/>
      <c r="RLY50" s="162"/>
      <c r="RLZ50" s="162"/>
      <c r="RMA50" s="162"/>
      <c r="RMB50" s="162"/>
      <c r="RMC50" s="162"/>
      <c r="RMD50" s="162"/>
      <c r="RME50" s="162"/>
      <c r="RMF50" s="162"/>
      <c r="RMG50" s="162"/>
      <c r="RMH50" s="162"/>
      <c r="RMI50" s="162"/>
      <c r="RMJ50" s="162"/>
      <c r="RMK50" s="162"/>
      <c r="RML50" s="162"/>
      <c r="RMM50" s="162"/>
      <c r="RMN50" s="162"/>
      <c r="RMO50" s="162"/>
      <c r="RMP50" s="162"/>
      <c r="RMQ50" s="162"/>
      <c r="RMR50" s="162"/>
      <c r="RMS50" s="162"/>
      <c r="RMT50" s="162"/>
      <c r="RMU50" s="162"/>
      <c r="RMV50" s="162"/>
      <c r="RMW50" s="162"/>
      <c r="RMX50" s="162"/>
      <c r="RMY50" s="162"/>
      <c r="RMZ50" s="162"/>
      <c r="RNA50" s="162"/>
      <c r="RNB50" s="162"/>
      <c r="RNC50" s="162"/>
      <c r="RND50" s="162"/>
      <c r="RNE50" s="162"/>
      <c r="RNF50" s="162"/>
      <c r="RNG50" s="162"/>
      <c r="RNH50" s="162"/>
      <c r="RNI50" s="162"/>
      <c r="RNJ50" s="162"/>
      <c r="RNK50" s="162"/>
      <c r="RNL50" s="162"/>
      <c r="RNM50" s="162"/>
      <c r="RNN50" s="162"/>
      <c r="RNO50" s="162"/>
      <c r="RNP50" s="162"/>
      <c r="RNQ50" s="162"/>
      <c r="RNR50" s="162"/>
      <c r="RNS50" s="162"/>
      <c r="RNT50" s="162"/>
      <c r="RNU50" s="162"/>
      <c r="RNV50" s="162"/>
      <c r="RNW50" s="162"/>
      <c r="RNX50" s="162"/>
      <c r="RNY50" s="162"/>
      <c r="RNZ50" s="162"/>
      <c r="ROA50" s="162"/>
      <c r="ROB50" s="162"/>
      <c r="ROC50" s="162"/>
      <c r="ROD50" s="162"/>
      <c r="ROE50" s="162"/>
      <c r="ROF50" s="162"/>
      <c r="ROG50" s="162"/>
      <c r="ROH50" s="162"/>
      <c r="ROI50" s="162"/>
      <c r="ROJ50" s="162"/>
      <c r="ROK50" s="162"/>
      <c r="ROL50" s="162"/>
      <c r="ROM50" s="162"/>
      <c r="RON50" s="162"/>
      <c r="ROO50" s="162"/>
      <c r="ROP50" s="162"/>
      <c r="ROQ50" s="162"/>
      <c r="ROR50" s="162"/>
      <c r="ROS50" s="162"/>
      <c r="ROT50" s="162"/>
      <c r="ROU50" s="162"/>
      <c r="ROV50" s="162"/>
      <c r="ROW50" s="162"/>
      <c r="ROX50" s="162"/>
      <c r="ROY50" s="162"/>
      <c r="ROZ50" s="162"/>
      <c r="RPA50" s="162"/>
      <c r="RPB50" s="162"/>
      <c r="RPC50" s="162"/>
      <c r="RPD50" s="162"/>
      <c r="RPE50" s="162"/>
      <c r="RPF50" s="162"/>
      <c r="RPG50" s="162"/>
      <c r="RPH50" s="162"/>
      <c r="RPI50" s="162"/>
      <c r="RPJ50" s="162"/>
      <c r="RPK50" s="162"/>
      <c r="RPL50" s="162"/>
      <c r="RPM50" s="162"/>
      <c r="RPN50" s="162"/>
      <c r="RPO50" s="162"/>
      <c r="RPP50" s="162"/>
      <c r="RPQ50" s="162"/>
      <c r="RPR50" s="162"/>
      <c r="RPS50" s="162"/>
      <c r="RPT50" s="162"/>
      <c r="RPU50" s="162"/>
      <c r="RPV50" s="162"/>
      <c r="RPW50" s="162"/>
      <c r="RPX50" s="162"/>
      <c r="RPY50" s="162"/>
      <c r="RPZ50" s="162"/>
      <c r="RQA50" s="162"/>
      <c r="RQB50" s="162"/>
      <c r="RQC50" s="162"/>
      <c r="RQD50" s="162"/>
      <c r="RQE50" s="162"/>
      <c r="RQF50" s="162"/>
      <c r="RQG50" s="162"/>
      <c r="RQH50" s="162"/>
      <c r="RQI50" s="162"/>
      <c r="RQJ50" s="162"/>
      <c r="RQK50" s="162"/>
      <c r="RQL50" s="162"/>
      <c r="RQM50" s="162"/>
      <c r="RQN50" s="162"/>
      <c r="RQO50" s="162"/>
      <c r="RQP50" s="162"/>
      <c r="RQQ50" s="162"/>
      <c r="RQR50" s="162"/>
      <c r="RQS50" s="162"/>
      <c r="RQT50" s="162"/>
      <c r="RQU50" s="162"/>
      <c r="RQV50" s="162"/>
      <c r="RQW50" s="162"/>
      <c r="RQX50" s="162"/>
      <c r="RQY50" s="162"/>
      <c r="RQZ50" s="162"/>
      <c r="RRA50" s="162"/>
      <c r="RRB50" s="162"/>
      <c r="RRC50" s="162"/>
      <c r="RRD50" s="162"/>
      <c r="RRE50" s="162"/>
      <c r="RRF50" s="162"/>
      <c r="RRG50" s="162"/>
      <c r="RRH50" s="162"/>
      <c r="RRI50" s="162"/>
      <c r="RRJ50" s="162"/>
      <c r="RRK50" s="162"/>
      <c r="RRL50" s="162"/>
      <c r="RRM50" s="162"/>
      <c r="RRN50" s="162"/>
      <c r="RRO50" s="162"/>
      <c r="RRP50" s="162"/>
      <c r="RRQ50" s="162"/>
      <c r="RRR50" s="162"/>
      <c r="RRS50" s="162"/>
      <c r="RRT50" s="162"/>
      <c r="RRU50" s="162"/>
      <c r="RRV50" s="162"/>
      <c r="RRW50" s="162"/>
      <c r="RRX50" s="162"/>
      <c r="RRY50" s="162"/>
      <c r="RRZ50" s="162"/>
      <c r="RSA50" s="162"/>
      <c r="RSB50" s="162"/>
      <c r="RSC50" s="162"/>
      <c r="RSD50" s="162"/>
      <c r="RSE50" s="162"/>
      <c r="RSF50" s="162"/>
      <c r="RSG50" s="162"/>
      <c r="RSH50" s="162"/>
      <c r="RSI50" s="162"/>
      <c r="RSJ50" s="162"/>
      <c r="RSK50" s="162"/>
      <c r="RSL50" s="162"/>
      <c r="RSM50" s="162"/>
      <c r="RSN50" s="162"/>
      <c r="RSO50" s="162"/>
      <c r="RSP50" s="162"/>
      <c r="RSQ50" s="162"/>
      <c r="RSR50" s="162"/>
      <c r="RSS50" s="162"/>
      <c r="RST50" s="162"/>
      <c r="RSU50" s="162"/>
      <c r="RSV50" s="162"/>
      <c r="RSW50" s="162"/>
      <c r="RSX50" s="162"/>
      <c r="RSY50" s="162"/>
      <c r="RSZ50" s="162"/>
      <c r="RTA50" s="162"/>
      <c r="RTB50" s="162"/>
      <c r="RTC50" s="162"/>
      <c r="RTD50" s="162"/>
      <c r="RTE50" s="162"/>
      <c r="RTF50" s="162"/>
      <c r="RTG50" s="162"/>
      <c r="RTH50" s="162"/>
      <c r="RTI50" s="162"/>
      <c r="RTJ50" s="162"/>
      <c r="RTK50" s="162"/>
      <c r="RTL50" s="162"/>
      <c r="RTM50" s="162"/>
      <c r="RTN50" s="162"/>
      <c r="RTO50" s="162"/>
      <c r="RTP50" s="162"/>
      <c r="RTQ50" s="162"/>
      <c r="RTR50" s="162"/>
      <c r="RTS50" s="162"/>
      <c r="RTT50" s="162"/>
      <c r="RTU50" s="162"/>
      <c r="RTV50" s="162"/>
      <c r="RTW50" s="162"/>
      <c r="RTX50" s="162"/>
      <c r="RTY50" s="162"/>
      <c r="RTZ50" s="162"/>
      <c r="RUA50" s="162"/>
      <c r="RUB50" s="162"/>
      <c r="RUC50" s="162"/>
      <c r="RUD50" s="162"/>
      <c r="RUE50" s="162"/>
      <c r="RUF50" s="162"/>
      <c r="RUG50" s="162"/>
      <c r="RUH50" s="162"/>
      <c r="RUI50" s="162"/>
      <c r="RUJ50" s="162"/>
      <c r="RUK50" s="162"/>
      <c r="RUL50" s="162"/>
      <c r="RUM50" s="162"/>
      <c r="RUN50" s="162"/>
      <c r="RUO50" s="162"/>
      <c r="RUP50" s="162"/>
      <c r="RUQ50" s="162"/>
      <c r="RUR50" s="162"/>
      <c r="RUS50" s="162"/>
      <c r="RUT50" s="162"/>
      <c r="RUU50" s="162"/>
      <c r="RUV50" s="162"/>
      <c r="RUW50" s="162"/>
      <c r="RUX50" s="162"/>
      <c r="RUY50" s="162"/>
      <c r="RUZ50" s="162"/>
      <c r="RVA50" s="162"/>
      <c r="RVB50" s="162"/>
      <c r="RVC50" s="162"/>
      <c r="RVD50" s="162"/>
      <c r="RVE50" s="162"/>
      <c r="RVF50" s="162"/>
      <c r="RVG50" s="162"/>
      <c r="RVH50" s="162"/>
      <c r="RVI50" s="162"/>
      <c r="RVJ50" s="162"/>
      <c r="RVK50" s="162"/>
      <c r="RVL50" s="162"/>
      <c r="RVM50" s="162"/>
      <c r="RVN50" s="162"/>
      <c r="RVO50" s="162"/>
      <c r="RVP50" s="162"/>
      <c r="RVQ50" s="162"/>
      <c r="RVR50" s="162"/>
      <c r="RVS50" s="162"/>
      <c r="RVT50" s="162"/>
      <c r="RVU50" s="162"/>
      <c r="RVV50" s="162"/>
      <c r="RVW50" s="162"/>
      <c r="RVX50" s="162"/>
      <c r="RVY50" s="162"/>
      <c r="RVZ50" s="162"/>
      <c r="RWA50" s="162"/>
      <c r="RWB50" s="162"/>
      <c r="RWC50" s="162"/>
      <c r="RWD50" s="162"/>
      <c r="RWE50" s="162"/>
      <c r="RWF50" s="162"/>
      <c r="RWG50" s="162"/>
      <c r="RWH50" s="162"/>
      <c r="RWI50" s="162"/>
      <c r="RWJ50" s="162"/>
      <c r="RWK50" s="162"/>
      <c r="RWL50" s="162"/>
      <c r="RWM50" s="162"/>
      <c r="RWN50" s="162"/>
      <c r="RWO50" s="162"/>
      <c r="RWP50" s="162"/>
      <c r="RWQ50" s="162"/>
      <c r="RWR50" s="162"/>
      <c r="RWS50" s="162"/>
      <c r="RWT50" s="162"/>
      <c r="RWU50" s="162"/>
      <c r="RWV50" s="162"/>
      <c r="RWW50" s="162"/>
      <c r="RWX50" s="162"/>
      <c r="RWY50" s="162"/>
      <c r="RWZ50" s="162"/>
      <c r="RXA50" s="162"/>
      <c r="RXB50" s="162"/>
      <c r="RXC50" s="162"/>
      <c r="RXD50" s="162"/>
      <c r="RXE50" s="162"/>
      <c r="RXF50" s="162"/>
      <c r="RXG50" s="162"/>
      <c r="RXH50" s="162"/>
      <c r="RXI50" s="162"/>
      <c r="RXJ50" s="162"/>
      <c r="RXK50" s="162"/>
      <c r="RXL50" s="162"/>
      <c r="RXM50" s="162"/>
      <c r="RXN50" s="162"/>
      <c r="RXO50" s="162"/>
      <c r="RXP50" s="162"/>
      <c r="RXQ50" s="162"/>
      <c r="RXR50" s="162"/>
      <c r="RXS50" s="162"/>
      <c r="RXT50" s="162"/>
      <c r="RXU50" s="162"/>
      <c r="RXV50" s="162"/>
      <c r="RXW50" s="162"/>
      <c r="RXX50" s="162"/>
      <c r="RXY50" s="162"/>
      <c r="RXZ50" s="162"/>
      <c r="RYA50" s="162"/>
      <c r="RYB50" s="162"/>
      <c r="RYC50" s="162"/>
      <c r="RYD50" s="162"/>
      <c r="RYE50" s="162"/>
      <c r="RYF50" s="162"/>
      <c r="RYG50" s="162"/>
      <c r="RYH50" s="162"/>
      <c r="RYI50" s="162"/>
      <c r="RYJ50" s="162"/>
      <c r="RYK50" s="162"/>
      <c r="RYL50" s="162"/>
      <c r="RYM50" s="162"/>
      <c r="RYN50" s="162"/>
      <c r="RYO50" s="162"/>
      <c r="RYP50" s="162"/>
      <c r="RYQ50" s="162"/>
      <c r="RYR50" s="162"/>
      <c r="RYS50" s="162"/>
      <c r="RYT50" s="162"/>
      <c r="RYU50" s="162"/>
      <c r="RYV50" s="162"/>
      <c r="RYW50" s="162"/>
      <c r="RYX50" s="162"/>
      <c r="RYY50" s="162"/>
      <c r="RYZ50" s="162"/>
      <c r="RZA50" s="162"/>
      <c r="RZB50" s="162"/>
      <c r="RZC50" s="162"/>
      <c r="RZD50" s="162"/>
      <c r="RZE50" s="162"/>
      <c r="RZF50" s="162"/>
      <c r="RZG50" s="162"/>
      <c r="RZH50" s="162"/>
      <c r="RZI50" s="162"/>
      <c r="RZJ50" s="162"/>
      <c r="RZK50" s="162"/>
      <c r="RZL50" s="162"/>
      <c r="RZM50" s="162"/>
      <c r="RZN50" s="162"/>
      <c r="RZO50" s="162"/>
      <c r="RZP50" s="162"/>
      <c r="RZQ50" s="162"/>
      <c r="RZR50" s="162"/>
      <c r="RZS50" s="162"/>
      <c r="RZT50" s="162"/>
      <c r="RZU50" s="162"/>
      <c r="RZV50" s="162"/>
      <c r="RZW50" s="162"/>
      <c r="RZX50" s="162"/>
      <c r="RZY50" s="162"/>
      <c r="RZZ50" s="162"/>
      <c r="SAA50" s="162"/>
      <c r="SAB50" s="162"/>
      <c r="SAC50" s="162"/>
      <c r="SAD50" s="162"/>
      <c r="SAE50" s="162"/>
      <c r="SAF50" s="162"/>
      <c r="SAG50" s="162"/>
      <c r="SAH50" s="162"/>
      <c r="SAI50" s="162"/>
      <c r="SAJ50" s="162"/>
      <c r="SAK50" s="162"/>
      <c r="SAL50" s="162"/>
      <c r="SAM50" s="162"/>
      <c r="SAN50" s="162"/>
      <c r="SAO50" s="162"/>
      <c r="SAP50" s="162"/>
      <c r="SAQ50" s="162"/>
      <c r="SAR50" s="162"/>
      <c r="SAS50" s="162"/>
      <c r="SAT50" s="162"/>
      <c r="SAU50" s="162"/>
      <c r="SAV50" s="162"/>
      <c r="SAW50" s="162"/>
      <c r="SAX50" s="162"/>
      <c r="SAY50" s="162"/>
      <c r="SAZ50" s="162"/>
      <c r="SBA50" s="162"/>
      <c r="SBB50" s="162"/>
      <c r="SBC50" s="162"/>
      <c r="SBD50" s="162"/>
      <c r="SBE50" s="162"/>
      <c r="SBF50" s="162"/>
      <c r="SBG50" s="162"/>
      <c r="SBH50" s="162"/>
      <c r="SBI50" s="162"/>
      <c r="SBJ50" s="162"/>
      <c r="SBK50" s="162"/>
      <c r="SBL50" s="162"/>
      <c r="SBM50" s="162"/>
      <c r="SBN50" s="162"/>
      <c r="SBO50" s="162"/>
      <c r="SBP50" s="162"/>
      <c r="SBQ50" s="162"/>
      <c r="SBR50" s="162"/>
      <c r="SBS50" s="162"/>
      <c r="SBT50" s="162"/>
      <c r="SBU50" s="162"/>
      <c r="SBV50" s="162"/>
      <c r="SBW50" s="162"/>
      <c r="SBX50" s="162"/>
      <c r="SBY50" s="162"/>
      <c r="SBZ50" s="162"/>
      <c r="SCA50" s="162"/>
      <c r="SCB50" s="162"/>
      <c r="SCC50" s="162"/>
      <c r="SCD50" s="162"/>
      <c r="SCE50" s="162"/>
      <c r="SCF50" s="162"/>
      <c r="SCG50" s="162"/>
      <c r="SCH50" s="162"/>
      <c r="SCI50" s="162"/>
      <c r="SCJ50" s="162"/>
      <c r="SCK50" s="162"/>
      <c r="SCL50" s="162"/>
      <c r="SCM50" s="162"/>
      <c r="SCN50" s="162"/>
      <c r="SCO50" s="162"/>
      <c r="SCP50" s="162"/>
      <c r="SCQ50" s="162"/>
      <c r="SCR50" s="162"/>
      <c r="SCS50" s="162"/>
      <c r="SCT50" s="162"/>
      <c r="SCU50" s="162"/>
      <c r="SCV50" s="162"/>
      <c r="SCW50" s="162"/>
      <c r="SCX50" s="162"/>
      <c r="SCY50" s="162"/>
      <c r="SCZ50" s="162"/>
      <c r="SDA50" s="162"/>
      <c r="SDB50" s="162"/>
      <c r="SDC50" s="162"/>
      <c r="SDD50" s="162"/>
      <c r="SDE50" s="162"/>
      <c r="SDF50" s="162"/>
      <c r="SDG50" s="162"/>
      <c r="SDH50" s="162"/>
      <c r="SDI50" s="162"/>
      <c r="SDJ50" s="162"/>
      <c r="SDK50" s="162"/>
      <c r="SDL50" s="162"/>
      <c r="SDM50" s="162"/>
      <c r="SDN50" s="162"/>
      <c r="SDO50" s="162"/>
      <c r="SDP50" s="162"/>
      <c r="SDQ50" s="162"/>
      <c r="SDR50" s="162"/>
      <c r="SDS50" s="162"/>
      <c r="SDT50" s="162"/>
      <c r="SDU50" s="162"/>
      <c r="SDV50" s="162"/>
      <c r="SDW50" s="162"/>
      <c r="SDX50" s="162"/>
      <c r="SDY50" s="162"/>
      <c r="SDZ50" s="162"/>
      <c r="SEA50" s="162"/>
      <c r="SEB50" s="162"/>
      <c r="SEC50" s="162"/>
      <c r="SED50" s="162"/>
      <c r="SEE50" s="162"/>
      <c r="SEF50" s="162"/>
      <c r="SEG50" s="162"/>
      <c r="SEH50" s="162"/>
      <c r="SEI50" s="162"/>
      <c r="SEJ50" s="162"/>
      <c r="SEK50" s="162"/>
      <c r="SEL50" s="162"/>
      <c r="SEM50" s="162"/>
      <c r="SEN50" s="162"/>
      <c r="SEO50" s="162"/>
      <c r="SEP50" s="162"/>
      <c r="SEQ50" s="162"/>
      <c r="SER50" s="162"/>
      <c r="SES50" s="162"/>
      <c r="SET50" s="162"/>
      <c r="SEU50" s="162"/>
      <c r="SEV50" s="162"/>
      <c r="SEW50" s="162"/>
      <c r="SEX50" s="162"/>
      <c r="SEY50" s="162"/>
      <c r="SEZ50" s="162"/>
      <c r="SFA50" s="162"/>
      <c r="SFB50" s="162"/>
      <c r="SFC50" s="162"/>
      <c r="SFD50" s="162"/>
      <c r="SFE50" s="162"/>
      <c r="SFF50" s="162"/>
      <c r="SFG50" s="162"/>
      <c r="SFH50" s="162"/>
      <c r="SFI50" s="162"/>
      <c r="SFJ50" s="162"/>
      <c r="SFK50" s="162"/>
      <c r="SFL50" s="162"/>
      <c r="SFM50" s="162"/>
      <c r="SFN50" s="162"/>
      <c r="SFO50" s="162"/>
      <c r="SFP50" s="162"/>
      <c r="SFQ50" s="162"/>
      <c r="SFR50" s="162"/>
      <c r="SFS50" s="162"/>
      <c r="SFT50" s="162"/>
      <c r="SFU50" s="162"/>
      <c r="SFV50" s="162"/>
      <c r="SFW50" s="162"/>
      <c r="SFX50" s="162"/>
      <c r="SFY50" s="162"/>
      <c r="SFZ50" s="162"/>
      <c r="SGA50" s="162"/>
      <c r="SGB50" s="162"/>
      <c r="SGC50" s="162"/>
      <c r="SGD50" s="162"/>
      <c r="SGE50" s="162"/>
      <c r="SGF50" s="162"/>
      <c r="SGG50" s="162"/>
      <c r="SGH50" s="162"/>
      <c r="SGI50" s="162"/>
      <c r="SGJ50" s="162"/>
      <c r="SGK50" s="162"/>
      <c r="SGL50" s="162"/>
      <c r="SGM50" s="162"/>
      <c r="SGN50" s="162"/>
      <c r="SGO50" s="162"/>
      <c r="SGP50" s="162"/>
      <c r="SGQ50" s="162"/>
      <c r="SGR50" s="162"/>
      <c r="SGS50" s="162"/>
      <c r="SGT50" s="162"/>
      <c r="SGU50" s="162"/>
      <c r="SGV50" s="162"/>
      <c r="SGW50" s="162"/>
      <c r="SGX50" s="162"/>
      <c r="SGY50" s="162"/>
      <c r="SGZ50" s="162"/>
      <c r="SHA50" s="162"/>
      <c r="SHB50" s="162"/>
      <c r="SHC50" s="162"/>
      <c r="SHD50" s="162"/>
      <c r="SHE50" s="162"/>
      <c r="SHF50" s="162"/>
      <c r="SHG50" s="162"/>
      <c r="SHH50" s="162"/>
      <c r="SHI50" s="162"/>
      <c r="SHJ50" s="162"/>
      <c r="SHK50" s="162"/>
      <c r="SHL50" s="162"/>
      <c r="SHM50" s="162"/>
      <c r="SHN50" s="162"/>
      <c r="SHO50" s="162"/>
      <c r="SHP50" s="162"/>
      <c r="SHQ50" s="162"/>
      <c r="SHR50" s="162"/>
      <c r="SHS50" s="162"/>
      <c r="SHT50" s="162"/>
      <c r="SHU50" s="162"/>
      <c r="SHV50" s="162"/>
      <c r="SHW50" s="162"/>
      <c r="SHX50" s="162"/>
      <c r="SHY50" s="162"/>
      <c r="SHZ50" s="162"/>
      <c r="SIA50" s="162"/>
      <c r="SIB50" s="162"/>
      <c r="SIC50" s="162"/>
      <c r="SID50" s="162"/>
      <c r="SIE50" s="162"/>
      <c r="SIF50" s="162"/>
      <c r="SIG50" s="162"/>
      <c r="SIH50" s="162"/>
      <c r="SII50" s="162"/>
      <c r="SIJ50" s="162"/>
      <c r="SIK50" s="162"/>
      <c r="SIL50" s="162"/>
      <c r="SIM50" s="162"/>
      <c r="SIN50" s="162"/>
      <c r="SIO50" s="162"/>
      <c r="SIP50" s="162"/>
      <c r="SIQ50" s="162"/>
      <c r="SIR50" s="162"/>
      <c r="SIS50" s="162"/>
      <c r="SIT50" s="162"/>
      <c r="SIU50" s="162"/>
      <c r="SIV50" s="162"/>
      <c r="SIW50" s="162"/>
      <c r="SIX50" s="162"/>
      <c r="SIY50" s="162"/>
      <c r="SIZ50" s="162"/>
      <c r="SJA50" s="162"/>
      <c r="SJB50" s="162"/>
      <c r="SJC50" s="162"/>
      <c r="SJD50" s="162"/>
      <c r="SJE50" s="162"/>
      <c r="SJF50" s="162"/>
      <c r="SJG50" s="162"/>
      <c r="SJH50" s="162"/>
      <c r="SJI50" s="162"/>
      <c r="SJJ50" s="162"/>
      <c r="SJK50" s="162"/>
      <c r="SJL50" s="162"/>
      <c r="SJM50" s="162"/>
      <c r="SJN50" s="162"/>
      <c r="SJO50" s="162"/>
      <c r="SJP50" s="162"/>
      <c r="SJQ50" s="162"/>
      <c r="SJR50" s="162"/>
      <c r="SJS50" s="162"/>
      <c r="SJT50" s="162"/>
      <c r="SJU50" s="162"/>
      <c r="SJV50" s="162"/>
      <c r="SJW50" s="162"/>
      <c r="SJX50" s="162"/>
      <c r="SJY50" s="162"/>
      <c r="SJZ50" s="162"/>
      <c r="SKA50" s="162"/>
      <c r="SKB50" s="162"/>
      <c r="SKC50" s="162"/>
      <c r="SKD50" s="162"/>
      <c r="SKE50" s="162"/>
      <c r="SKF50" s="162"/>
      <c r="SKG50" s="162"/>
      <c r="SKH50" s="162"/>
      <c r="SKI50" s="162"/>
      <c r="SKJ50" s="162"/>
      <c r="SKK50" s="162"/>
      <c r="SKL50" s="162"/>
      <c r="SKM50" s="162"/>
      <c r="SKN50" s="162"/>
      <c r="SKO50" s="162"/>
      <c r="SKP50" s="162"/>
      <c r="SKQ50" s="162"/>
      <c r="SKR50" s="162"/>
      <c r="SKS50" s="162"/>
      <c r="SKT50" s="162"/>
      <c r="SKU50" s="162"/>
      <c r="SKV50" s="162"/>
      <c r="SKW50" s="162"/>
      <c r="SKX50" s="162"/>
      <c r="SKY50" s="162"/>
      <c r="SKZ50" s="162"/>
      <c r="SLA50" s="162"/>
      <c r="SLB50" s="162"/>
      <c r="SLC50" s="162"/>
      <c r="SLD50" s="162"/>
      <c r="SLE50" s="162"/>
      <c r="SLF50" s="162"/>
      <c r="SLG50" s="162"/>
      <c r="SLH50" s="162"/>
      <c r="SLI50" s="162"/>
      <c r="SLJ50" s="162"/>
      <c r="SLK50" s="162"/>
      <c r="SLL50" s="162"/>
      <c r="SLM50" s="162"/>
      <c r="SLN50" s="162"/>
      <c r="SLO50" s="162"/>
      <c r="SLP50" s="162"/>
      <c r="SLQ50" s="162"/>
      <c r="SLR50" s="162"/>
      <c r="SLS50" s="162"/>
      <c r="SLT50" s="162"/>
      <c r="SLU50" s="162"/>
      <c r="SLV50" s="162"/>
      <c r="SLW50" s="162"/>
      <c r="SLX50" s="162"/>
      <c r="SLY50" s="162"/>
      <c r="SLZ50" s="162"/>
      <c r="SMA50" s="162"/>
      <c r="SMB50" s="162"/>
      <c r="SMC50" s="162"/>
      <c r="SMD50" s="162"/>
      <c r="SME50" s="162"/>
      <c r="SMF50" s="162"/>
      <c r="SMG50" s="162"/>
      <c r="SMH50" s="162"/>
      <c r="SMI50" s="162"/>
      <c r="SMJ50" s="162"/>
      <c r="SMK50" s="162"/>
      <c r="SML50" s="162"/>
      <c r="SMM50" s="162"/>
      <c r="SMN50" s="162"/>
      <c r="SMO50" s="162"/>
      <c r="SMP50" s="162"/>
      <c r="SMQ50" s="162"/>
      <c r="SMR50" s="162"/>
      <c r="SMS50" s="162"/>
      <c r="SMT50" s="162"/>
      <c r="SMU50" s="162"/>
      <c r="SMV50" s="162"/>
      <c r="SMW50" s="162"/>
      <c r="SMX50" s="162"/>
      <c r="SMY50" s="162"/>
      <c r="SMZ50" s="162"/>
      <c r="SNA50" s="162"/>
      <c r="SNB50" s="162"/>
      <c r="SNC50" s="162"/>
      <c r="SND50" s="162"/>
      <c r="SNE50" s="162"/>
      <c r="SNF50" s="162"/>
      <c r="SNG50" s="162"/>
      <c r="SNH50" s="162"/>
      <c r="SNI50" s="162"/>
      <c r="SNJ50" s="162"/>
      <c r="SNK50" s="162"/>
      <c r="SNL50" s="162"/>
      <c r="SNM50" s="162"/>
      <c r="SNN50" s="162"/>
      <c r="SNO50" s="162"/>
      <c r="SNP50" s="162"/>
      <c r="SNQ50" s="162"/>
      <c r="SNR50" s="162"/>
      <c r="SNS50" s="162"/>
      <c r="SNT50" s="162"/>
      <c r="SNU50" s="162"/>
      <c r="SNV50" s="162"/>
      <c r="SNW50" s="162"/>
      <c r="SNX50" s="162"/>
      <c r="SNY50" s="162"/>
      <c r="SNZ50" s="162"/>
      <c r="SOA50" s="162"/>
      <c r="SOB50" s="162"/>
      <c r="SOC50" s="162"/>
      <c r="SOD50" s="162"/>
      <c r="SOE50" s="162"/>
      <c r="SOF50" s="162"/>
      <c r="SOG50" s="162"/>
      <c r="SOH50" s="162"/>
      <c r="SOI50" s="162"/>
      <c r="SOJ50" s="162"/>
      <c r="SOK50" s="162"/>
      <c r="SOL50" s="162"/>
      <c r="SOM50" s="162"/>
      <c r="SON50" s="162"/>
      <c r="SOO50" s="162"/>
      <c r="SOP50" s="162"/>
      <c r="SOQ50" s="162"/>
      <c r="SOR50" s="162"/>
      <c r="SOS50" s="162"/>
      <c r="SOT50" s="162"/>
      <c r="SOU50" s="162"/>
      <c r="SOV50" s="162"/>
      <c r="SOW50" s="162"/>
      <c r="SOX50" s="162"/>
      <c r="SOY50" s="162"/>
      <c r="SOZ50" s="162"/>
      <c r="SPA50" s="162"/>
      <c r="SPB50" s="162"/>
      <c r="SPC50" s="162"/>
      <c r="SPD50" s="162"/>
      <c r="SPE50" s="162"/>
      <c r="SPF50" s="162"/>
      <c r="SPG50" s="162"/>
      <c r="SPH50" s="162"/>
      <c r="SPI50" s="162"/>
      <c r="SPJ50" s="162"/>
      <c r="SPK50" s="162"/>
      <c r="SPL50" s="162"/>
      <c r="SPM50" s="162"/>
      <c r="SPN50" s="162"/>
      <c r="SPO50" s="162"/>
      <c r="SPP50" s="162"/>
      <c r="SPQ50" s="162"/>
      <c r="SPR50" s="162"/>
      <c r="SPS50" s="162"/>
      <c r="SPT50" s="162"/>
      <c r="SPU50" s="162"/>
      <c r="SPV50" s="162"/>
      <c r="SPW50" s="162"/>
      <c r="SPX50" s="162"/>
      <c r="SPY50" s="162"/>
      <c r="SPZ50" s="162"/>
      <c r="SQA50" s="162"/>
      <c r="SQB50" s="162"/>
      <c r="SQC50" s="162"/>
      <c r="SQD50" s="162"/>
      <c r="SQE50" s="162"/>
      <c r="SQF50" s="162"/>
      <c r="SQG50" s="162"/>
      <c r="SQH50" s="162"/>
      <c r="SQI50" s="162"/>
      <c r="SQJ50" s="162"/>
      <c r="SQK50" s="162"/>
      <c r="SQL50" s="162"/>
      <c r="SQM50" s="162"/>
      <c r="SQN50" s="162"/>
      <c r="SQO50" s="162"/>
      <c r="SQP50" s="162"/>
      <c r="SQQ50" s="162"/>
      <c r="SQR50" s="162"/>
      <c r="SQS50" s="162"/>
      <c r="SQT50" s="162"/>
      <c r="SQU50" s="162"/>
      <c r="SQV50" s="162"/>
      <c r="SQW50" s="162"/>
      <c r="SQX50" s="162"/>
      <c r="SQY50" s="162"/>
      <c r="SQZ50" s="162"/>
      <c r="SRA50" s="162"/>
      <c r="SRB50" s="162"/>
      <c r="SRC50" s="162"/>
      <c r="SRD50" s="162"/>
      <c r="SRE50" s="162"/>
      <c r="SRF50" s="162"/>
      <c r="SRG50" s="162"/>
      <c r="SRH50" s="162"/>
      <c r="SRI50" s="162"/>
      <c r="SRJ50" s="162"/>
      <c r="SRK50" s="162"/>
      <c r="SRL50" s="162"/>
      <c r="SRM50" s="162"/>
      <c r="SRN50" s="162"/>
      <c r="SRO50" s="162"/>
      <c r="SRP50" s="162"/>
      <c r="SRQ50" s="162"/>
      <c r="SRR50" s="162"/>
      <c r="SRS50" s="162"/>
      <c r="SRT50" s="162"/>
      <c r="SRU50" s="162"/>
      <c r="SRV50" s="162"/>
      <c r="SRW50" s="162"/>
      <c r="SRX50" s="162"/>
      <c r="SRY50" s="162"/>
      <c r="SRZ50" s="162"/>
      <c r="SSA50" s="162"/>
      <c r="SSB50" s="162"/>
      <c r="SSC50" s="162"/>
      <c r="SSD50" s="162"/>
      <c r="SSE50" s="162"/>
      <c r="SSF50" s="162"/>
      <c r="SSG50" s="162"/>
      <c r="SSH50" s="162"/>
      <c r="SSI50" s="162"/>
      <c r="SSJ50" s="162"/>
      <c r="SSK50" s="162"/>
      <c r="SSL50" s="162"/>
      <c r="SSM50" s="162"/>
      <c r="SSN50" s="162"/>
      <c r="SSO50" s="162"/>
      <c r="SSP50" s="162"/>
      <c r="SSQ50" s="162"/>
      <c r="SSR50" s="162"/>
      <c r="SSS50" s="162"/>
      <c r="SST50" s="162"/>
      <c r="SSU50" s="162"/>
      <c r="SSV50" s="162"/>
      <c r="SSW50" s="162"/>
      <c r="SSX50" s="162"/>
      <c r="SSY50" s="162"/>
      <c r="SSZ50" s="162"/>
      <c r="STA50" s="162"/>
      <c r="STB50" s="162"/>
      <c r="STC50" s="162"/>
      <c r="STD50" s="162"/>
      <c r="STE50" s="162"/>
      <c r="STF50" s="162"/>
      <c r="STG50" s="162"/>
      <c r="STH50" s="162"/>
      <c r="STI50" s="162"/>
      <c r="STJ50" s="162"/>
      <c r="STK50" s="162"/>
      <c r="STL50" s="162"/>
      <c r="STM50" s="162"/>
      <c r="STN50" s="162"/>
      <c r="STO50" s="162"/>
      <c r="STP50" s="162"/>
      <c r="STQ50" s="162"/>
      <c r="STR50" s="162"/>
      <c r="STS50" s="162"/>
      <c r="STT50" s="162"/>
      <c r="STU50" s="162"/>
      <c r="STV50" s="162"/>
      <c r="STW50" s="162"/>
      <c r="STX50" s="162"/>
      <c r="STY50" s="162"/>
      <c r="STZ50" s="162"/>
      <c r="SUA50" s="162"/>
      <c r="SUB50" s="162"/>
      <c r="SUC50" s="162"/>
      <c r="SUD50" s="162"/>
      <c r="SUE50" s="162"/>
      <c r="SUF50" s="162"/>
      <c r="SUG50" s="162"/>
      <c r="SUH50" s="162"/>
      <c r="SUI50" s="162"/>
      <c r="SUJ50" s="162"/>
      <c r="SUK50" s="162"/>
      <c r="SUL50" s="162"/>
      <c r="SUM50" s="162"/>
      <c r="SUN50" s="162"/>
      <c r="SUO50" s="162"/>
      <c r="SUP50" s="162"/>
      <c r="SUQ50" s="162"/>
      <c r="SUR50" s="162"/>
      <c r="SUS50" s="162"/>
      <c r="SUT50" s="162"/>
      <c r="SUU50" s="162"/>
      <c r="SUV50" s="162"/>
      <c r="SUW50" s="162"/>
      <c r="SUX50" s="162"/>
      <c r="SUY50" s="162"/>
      <c r="SUZ50" s="162"/>
      <c r="SVA50" s="162"/>
      <c r="SVB50" s="162"/>
      <c r="SVC50" s="162"/>
      <c r="SVD50" s="162"/>
      <c r="SVE50" s="162"/>
      <c r="SVF50" s="162"/>
      <c r="SVG50" s="162"/>
      <c r="SVH50" s="162"/>
      <c r="SVI50" s="162"/>
      <c r="SVJ50" s="162"/>
      <c r="SVK50" s="162"/>
      <c r="SVL50" s="162"/>
      <c r="SVM50" s="162"/>
      <c r="SVN50" s="162"/>
      <c r="SVO50" s="162"/>
      <c r="SVP50" s="162"/>
      <c r="SVQ50" s="162"/>
      <c r="SVR50" s="162"/>
      <c r="SVS50" s="162"/>
      <c r="SVT50" s="162"/>
      <c r="SVU50" s="162"/>
      <c r="SVV50" s="162"/>
      <c r="SVW50" s="162"/>
      <c r="SVX50" s="162"/>
      <c r="SVY50" s="162"/>
      <c r="SVZ50" s="162"/>
      <c r="SWA50" s="162"/>
      <c r="SWB50" s="162"/>
      <c r="SWC50" s="162"/>
      <c r="SWD50" s="162"/>
      <c r="SWE50" s="162"/>
      <c r="SWF50" s="162"/>
      <c r="SWG50" s="162"/>
      <c r="SWH50" s="162"/>
      <c r="SWI50" s="162"/>
      <c r="SWJ50" s="162"/>
      <c r="SWK50" s="162"/>
      <c r="SWL50" s="162"/>
      <c r="SWM50" s="162"/>
      <c r="SWN50" s="162"/>
      <c r="SWO50" s="162"/>
      <c r="SWP50" s="162"/>
      <c r="SWQ50" s="162"/>
      <c r="SWR50" s="162"/>
      <c r="SWS50" s="162"/>
      <c r="SWT50" s="162"/>
      <c r="SWU50" s="162"/>
      <c r="SWV50" s="162"/>
      <c r="SWW50" s="162"/>
      <c r="SWX50" s="162"/>
      <c r="SWY50" s="162"/>
      <c r="SWZ50" s="162"/>
      <c r="SXA50" s="162"/>
      <c r="SXB50" s="162"/>
      <c r="SXC50" s="162"/>
      <c r="SXD50" s="162"/>
      <c r="SXE50" s="162"/>
      <c r="SXF50" s="162"/>
      <c r="SXG50" s="162"/>
      <c r="SXH50" s="162"/>
      <c r="SXI50" s="162"/>
      <c r="SXJ50" s="162"/>
      <c r="SXK50" s="162"/>
      <c r="SXL50" s="162"/>
      <c r="SXM50" s="162"/>
      <c r="SXN50" s="162"/>
      <c r="SXO50" s="162"/>
      <c r="SXP50" s="162"/>
      <c r="SXQ50" s="162"/>
      <c r="SXR50" s="162"/>
      <c r="SXS50" s="162"/>
      <c r="SXT50" s="162"/>
      <c r="SXU50" s="162"/>
      <c r="SXV50" s="162"/>
      <c r="SXW50" s="162"/>
      <c r="SXX50" s="162"/>
      <c r="SXY50" s="162"/>
      <c r="SXZ50" s="162"/>
      <c r="SYA50" s="162"/>
      <c r="SYB50" s="162"/>
      <c r="SYC50" s="162"/>
      <c r="SYD50" s="162"/>
      <c r="SYE50" s="162"/>
      <c r="SYF50" s="162"/>
      <c r="SYG50" s="162"/>
      <c r="SYH50" s="162"/>
      <c r="SYI50" s="162"/>
      <c r="SYJ50" s="162"/>
      <c r="SYK50" s="162"/>
      <c r="SYL50" s="162"/>
      <c r="SYM50" s="162"/>
      <c r="SYN50" s="162"/>
      <c r="SYO50" s="162"/>
      <c r="SYP50" s="162"/>
      <c r="SYQ50" s="162"/>
      <c r="SYR50" s="162"/>
      <c r="SYS50" s="162"/>
      <c r="SYT50" s="162"/>
      <c r="SYU50" s="162"/>
      <c r="SYV50" s="162"/>
      <c r="SYW50" s="162"/>
      <c r="SYX50" s="162"/>
      <c r="SYY50" s="162"/>
      <c r="SYZ50" s="162"/>
      <c r="SZA50" s="162"/>
      <c r="SZB50" s="162"/>
      <c r="SZC50" s="162"/>
      <c r="SZD50" s="162"/>
      <c r="SZE50" s="162"/>
      <c r="SZF50" s="162"/>
      <c r="SZG50" s="162"/>
      <c r="SZH50" s="162"/>
      <c r="SZI50" s="162"/>
      <c r="SZJ50" s="162"/>
      <c r="SZK50" s="162"/>
      <c r="SZL50" s="162"/>
      <c r="SZM50" s="162"/>
      <c r="SZN50" s="162"/>
      <c r="SZO50" s="162"/>
      <c r="SZP50" s="162"/>
      <c r="SZQ50" s="162"/>
      <c r="SZR50" s="162"/>
      <c r="SZS50" s="162"/>
      <c r="SZT50" s="162"/>
      <c r="SZU50" s="162"/>
      <c r="SZV50" s="162"/>
      <c r="SZW50" s="162"/>
      <c r="SZX50" s="162"/>
      <c r="SZY50" s="162"/>
      <c r="SZZ50" s="162"/>
      <c r="TAA50" s="162"/>
      <c r="TAB50" s="162"/>
      <c r="TAC50" s="162"/>
      <c r="TAD50" s="162"/>
      <c r="TAE50" s="162"/>
      <c r="TAF50" s="162"/>
      <c r="TAG50" s="162"/>
      <c r="TAH50" s="162"/>
      <c r="TAI50" s="162"/>
      <c r="TAJ50" s="162"/>
      <c r="TAK50" s="162"/>
      <c r="TAL50" s="162"/>
      <c r="TAM50" s="162"/>
      <c r="TAN50" s="162"/>
      <c r="TAO50" s="162"/>
      <c r="TAP50" s="162"/>
      <c r="TAQ50" s="162"/>
      <c r="TAR50" s="162"/>
      <c r="TAS50" s="162"/>
      <c r="TAT50" s="162"/>
      <c r="TAU50" s="162"/>
      <c r="TAV50" s="162"/>
      <c r="TAW50" s="162"/>
      <c r="TAX50" s="162"/>
      <c r="TAY50" s="162"/>
      <c r="TAZ50" s="162"/>
      <c r="TBA50" s="162"/>
      <c r="TBB50" s="162"/>
      <c r="TBC50" s="162"/>
      <c r="TBD50" s="162"/>
      <c r="TBE50" s="162"/>
      <c r="TBF50" s="162"/>
      <c r="TBG50" s="162"/>
      <c r="TBH50" s="162"/>
      <c r="TBI50" s="162"/>
      <c r="TBJ50" s="162"/>
      <c r="TBK50" s="162"/>
      <c r="TBL50" s="162"/>
      <c r="TBM50" s="162"/>
      <c r="TBN50" s="162"/>
      <c r="TBO50" s="162"/>
      <c r="TBP50" s="162"/>
      <c r="TBQ50" s="162"/>
      <c r="TBR50" s="162"/>
      <c r="TBS50" s="162"/>
      <c r="TBT50" s="162"/>
      <c r="TBU50" s="162"/>
      <c r="TBV50" s="162"/>
      <c r="TBW50" s="162"/>
      <c r="TBX50" s="162"/>
      <c r="TBY50" s="162"/>
      <c r="TBZ50" s="162"/>
      <c r="TCA50" s="162"/>
      <c r="TCB50" s="162"/>
      <c r="TCC50" s="162"/>
      <c r="TCD50" s="162"/>
      <c r="TCE50" s="162"/>
      <c r="TCF50" s="162"/>
      <c r="TCG50" s="162"/>
      <c r="TCH50" s="162"/>
      <c r="TCI50" s="162"/>
      <c r="TCJ50" s="162"/>
      <c r="TCK50" s="162"/>
      <c r="TCL50" s="162"/>
      <c r="TCM50" s="162"/>
      <c r="TCN50" s="162"/>
      <c r="TCO50" s="162"/>
      <c r="TCP50" s="162"/>
      <c r="TCQ50" s="162"/>
      <c r="TCR50" s="162"/>
      <c r="TCS50" s="162"/>
      <c r="TCT50" s="162"/>
      <c r="TCU50" s="162"/>
      <c r="TCV50" s="162"/>
      <c r="TCW50" s="162"/>
      <c r="TCX50" s="162"/>
      <c r="TCY50" s="162"/>
      <c r="TCZ50" s="162"/>
      <c r="TDA50" s="162"/>
      <c r="TDB50" s="162"/>
      <c r="TDC50" s="162"/>
      <c r="TDD50" s="162"/>
      <c r="TDE50" s="162"/>
      <c r="TDF50" s="162"/>
      <c r="TDG50" s="162"/>
      <c r="TDH50" s="162"/>
      <c r="TDI50" s="162"/>
      <c r="TDJ50" s="162"/>
      <c r="TDK50" s="162"/>
      <c r="TDL50" s="162"/>
      <c r="TDM50" s="162"/>
      <c r="TDN50" s="162"/>
      <c r="TDO50" s="162"/>
      <c r="TDP50" s="162"/>
      <c r="TDQ50" s="162"/>
      <c r="TDR50" s="162"/>
      <c r="TDS50" s="162"/>
      <c r="TDT50" s="162"/>
      <c r="TDU50" s="162"/>
      <c r="TDV50" s="162"/>
      <c r="TDW50" s="162"/>
      <c r="TDX50" s="162"/>
      <c r="TDY50" s="162"/>
      <c r="TDZ50" s="162"/>
      <c r="TEA50" s="162"/>
      <c r="TEB50" s="162"/>
      <c r="TEC50" s="162"/>
      <c r="TED50" s="162"/>
      <c r="TEE50" s="162"/>
      <c r="TEF50" s="162"/>
      <c r="TEG50" s="162"/>
      <c r="TEH50" s="162"/>
      <c r="TEI50" s="162"/>
      <c r="TEJ50" s="162"/>
      <c r="TEK50" s="162"/>
      <c r="TEL50" s="162"/>
      <c r="TEM50" s="162"/>
      <c r="TEN50" s="162"/>
      <c r="TEO50" s="162"/>
      <c r="TEP50" s="162"/>
      <c r="TEQ50" s="162"/>
      <c r="TER50" s="162"/>
      <c r="TES50" s="162"/>
      <c r="TET50" s="162"/>
      <c r="TEU50" s="162"/>
      <c r="TEV50" s="162"/>
      <c r="TEW50" s="162"/>
      <c r="TEX50" s="162"/>
      <c r="TEY50" s="162"/>
      <c r="TEZ50" s="162"/>
      <c r="TFA50" s="162"/>
      <c r="TFB50" s="162"/>
      <c r="TFC50" s="162"/>
      <c r="TFD50" s="162"/>
      <c r="TFE50" s="162"/>
      <c r="TFF50" s="162"/>
      <c r="TFG50" s="162"/>
      <c r="TFH50" s="162"/>
      <c r="TFI50" s="162"/>
      <c r="TFJ50" s="162"/>
      <c r="TFK50" s="162"/>
      <c r="TFL50" s="162"/>
      <c r="TFM50" s="162"/>
      <c r="TFN50" s="162"/>
      <c r="TFO50" s="162"/>
      <c r="TFP50" s="162"/>
      <c r="TFQ50" s="162"/>
      <c r="TFR50" s="162"/>
      <c r="TFS50" s="162"/>
      <c r="TFT50" s="162"/>
      <c r="TFU50" s="162"/>
      <c r="TFV50" s="162"/>
      <c r="TFW50" s="162"/>
      <c r="TFX50" s="162"/>
      <c r="TFY50" s="162"/>
      <c r="TFZ50" s="162"/>
      <c r="TGA50" s="162"/>
      <c r="TGB50" s="162"/>
      <c r="TGC50" s="162"/>
      <c r="TGD50" s="162"/>
      <c r="TGE50" s="162"/>
      <c r="TGF50" s="162"/>
      <c r="TGG50" s="162"/>
      <c r="TGH50" s="162"/>
      <c r="TGI50" s="162"/>
      <c r="TGJ50" s="162"/>
      <c r="TGK50" s="162"/>
      <c r="TGL50" s="162"/>
      <c r="TGM50" s="162"/>
      <c r="TGN50" s="162"/>
      <c r="TGO50" s="162"/>
      <c r="TGP50" s="162"/>
      <c r="TGQ50" s="162"/>
      <c r="TGR50" s="162"/>
      <c r="TGS50" s="162"/>
      <c r="TGT50" s="162"/>
      <c r="TGU50" s="162"/>
      <c r="TGV50" s="162"/>
      <c r="TGW50" s="162"/>
      <c r="TGX50" s="162"/>
      <c r="TGY50" s="162"/>
      <c r="TGZ50" s="162"/>
      <c r="THA50" s="162"/>
      <c r="THB50" s="162"/>
      <c r="THC50" s="162"/>
      <c r="THD50" s="162"/>
      <c r="THE50" s="162"/>
      <c r="THF50" s="162"/>
      <c r="THG50" s="162"/>
      <c r="THH50" s="162"/>
      <c r="THI50" s="162"/>
      <c r="THJ50" s="162"/>
      <c r="THK50" s="162"/>
      <c r="THL50" s="162"/>
      <c r="THM50" s="162"/>
      <c r="THN50" s="162"/>
      <c r="THO50" s="162"/>
      <c r="THP50" s="162"/>
      <c r="THQ50" s="162"/>
      <c r="THR50" s="162"/>
      <c r="THS50" s="162"/>
      <c r="THT50" s="162"/>
      <c r="THU50" s="162"/>
      <c r="THV50" s="162"/>
      <c r="THW50" s="162"/>
      <c r="THX50" s="162"/>
      <c r="THY50" s="162"/>
      <c r="THZ50" s="162"/>
      <c r="TIA50" s="162"/>
      <c r="TIB50" s="162"/>
      <c r="TIC50" s="162"/>
      <c r="TID50" s="162"/>
      <c r="TIE50" s="162"/>
      <c r="TIF50" s="162"/>
      <c r="TIG50" s="162"/>
      <c r="TIH50" s="162"/>
      <c r="TII50" s="162"/>
      <c r="TIJ50" s="162"/>
      <c r="TIK50" s="162"/>
      <c r="TIL50" s="162"/>
      <c r="TIM50" s="162"/>
      <c r="TIN50" s="162"/>
      <c r="TIO50" s="162"/>
      <c r="TIP50" s="162"/>
      <c r="TIQ50" s="162"/>
      <c r="TIR50" s="162"/>
      <c r="TIS50" s="162"/>
      <c r="TIT50" s="162"/>
      <c r="TIU50" s="162"/>
      <c r="TIV50" s="162"/>
      <c r="TIW50" s="162"/>
      <c r="TIX50" s="162"/>
      <c r="TIY50" s="162"/>
      <c r="TIZ50" s="162"/>
      <c r="TJA50" s="162"/>
      <c r="TJB50" s="162"/>
      <c r="TJC50" s="162"/>
      <c r="TJD50" s="162"/>
      <c r="TJE50" s="162"/>
      <c r="TJF50" s="162"/>
      <c r="TJG50" s="162"/>
      <c r="TJH50" s="162"/>
      <c r="TJI50" s="162"/>
      <c r="TJJ50" s="162"/>
      <c r="TJK50" s="162"/>
      <c r="TJL50" s="162"/>
      <c r="TJM50" s="162"/>
      <c r="TJN50" s="162"/>
      <c r="TJO50" s="162"/>
      <c r="TJP50" s="162"/>
      <c r="TJQ50" s="162"/>
      <c r="TJR50" s="162"/>
      <c r="TJS50" s="162"/>
      <c r="TJT50" s="162"/>
      <c r="TJU50" s="162"/>
      <c r="TJV50" s="162"/>
      <c r="TJW50" s="162"/>
      <c r="TJX50" s="162"/>
      <c r="TJY50" s="162"/>
      <c r="TJZ50" s="162"/>
      <c r="TKA50" s="162"/>
      <c r="TKB50" s="162"/>
      <c r="TKC50" s="162"/>
      <c r="TKD50" s="162"/>
      <c r="TKE50" s="162"/>
      <c r="TKF50" s="162"/>
      <c r="TKG50" s="162"/>
      <c r="TKH50" s="162"/>
      <c r="TKI50" s="162"/>
      <c r="TKJ50" s="162"/>
      <c r="TKK50" s="162"/>
      <c r="TKL50" s="162"/>
      <c r="TKM50" s="162"/>
      <c r="TKN50" s="162"/>
      <c r="TKO50" s="162"/>
      <c r="TKP50" s="162"/>
      <c r="TKQ50" s="162"/>
      <c r="TKR50" s="162"/>
      <c r="TKS50" s="162"/>
      <c r="TKT50" s="162"/>
      <c r="TKU50" s="162"/>
      <c r="TKV50" s="162"/>
      <c r="TKW50" s="162"/>
      <c r="TKX50" s="162"/>
      <c r="TKY50" s="162"/>
      <c r="TKZ50" s="162"/>
      <c r="TLA50" s="162"/>
      <c r="TLB50" s="162"/>
      <c r="TLC50" s="162"/>
      <c r="TLD50" s="162"/>
      <c r="TLE50" s="162"/>
      <c r="TLF50" s="162"/>
      <c r="TLG50" s="162"/>
      <c r="TLH50" s="162"/>
      <c r="TLI50" s="162"/>
      <c r="TLJ50" s="162"/>
      <c r="TLK50" s="162"/>
      <c r="TLL50" s="162"/>
      <c r="TLM50" s="162"/>
      <c r="TLN50" s="162"/>
      <c r="TLO50" s="162"/>
      <c r="TLP50" s="162"/>
      <c r="TLQ50" s="162"/>
      <c r="TLR50" s="162"/>
      <c r="TLS50" s="162"/>
      <c r="TLT50" s="162"/>
      <c r="TLU50" s="162"/>
      <c r="TLV50" s="162"/>
      <c r="TLW50" s="162"/>
      <c r="TLX50" s="162"/>
      <c r="TLY50" s="162"/>
      <c r="TLZ50" s="162"/>
      <c r="TMA50" s="162"/>
      <c r="TMB50" s="162"/>
      <c r="TMC50" s="162"/>
      <c r="TMD50" s="162"/>
      <c r="TME50" s="162"/>
      <c r="TMF50" s="162"/>
      <c r="TMG50" s="162"/>
      <c r="TMH50" s="162"/>
      <c r="TMI50" s="162"/>
      <c r="TMJ50" s="162"/>
      <c r="TMK50" s="162"/>
      <c r="TML50" s="162"/>
      <c r="TMM50" s="162"/>
      <c r="TMN50" s="162"/>
      <c r="TMO50" s="162"/>
      <c r="TMP50" s="162"/>
      <c r="TMQ50" s="162"/>
      <c r="TMR50" s="162"/>
      <c r="TMS50" s="162"/>
      <c r="TMT50" s="162"/>
      <c r="TMU50" s="162"/>
      <c r="TMV50" s="162"/>
      <c r="TMW50" s="162"/>
      <c r="TMX50" s="162"/>
      <c r="TMY50" s="162"/>
      <c r="TMZ50" s="162"/>
      <c r="TNA50" s="162"/>
      <c r="TNB50" s="162"/>
      <c r="TNC50" s="162"/>
      <c r="TND50" s="162"/>
      <c r="TNE50" s="162"/>
      <c r="TNF50" s="162"/>
      <c r="TNG50" s="162"/>
      <c r="TNH50" s="162"/>
      <c r="TNI50" s="162"/>
      <c r="TNJ50" s="162"/>
      <c r="TNK50" s="162"/>
      <c r="TNL50" s="162"/>
      <c r="TNM50" s="162"/>
      <c r="TNN50" s="162"/>
      <c r="TNO50" s="162"/>
      <c r="TNP50" s="162"/>
      <c r="TNQ50" s="162"/>
      <c r="TNR50" s="162"/>
      <c r="TNS50" s="162"/>
      <c r="TNT50" s="162"/>
      <c r="TNU50" s="162"/>
      <c r="TNV50" s="162"/>
      <c r="TNW50" s="162"/>
      <c r="TNX50" s="162"/>
      <c r="TNY50" s="162"/>
      <c r="TNZ50" s="162"/>
      <c r="TOA50" s="162"/>
      <c r="TOB50" s="162"/>
      <c r="TOC50" s="162"/>
      <c r="TOD50" s="162"/>
      <c r="TOE50" s="162"/>
      <c r="TOF50" s="162"/>
      <c r="TOG50" s="162"/>
      <c r="TOH50" s="162"/>
      <c r="TOI50" s="162"/>
      <c r="TOJ50" s="162"/>
      <c r="TOK50" s="162"/>
      <c r="TOL50" s="162"/>
      <c r="TOM50" s="162"/>
      <c r="TON50" s="162"/>
      <c r="TOO50" s="162"/>
      <c r="TOP50" s="162"/>
      <c r="TOQ50" s="162"/>
      <c r="TOR50" s="162"/>
      <c r="TOS50" s="162"/>
      <c r="TOT50" s="162"/>
      <c r="TOU50" s="162"/>
      <c r="TOV50" s="162"/>
      <c r="TOW50" s="162"/>
      <c r="TOX50" s="162"/>
      <c r="TOY50" s="162"/>
      <c r="TOZ50" s="162"/>
      <c r="TPA50" s="162"/>
      <c r="TPB50" s="162"/>
      <c r="TPC50" s="162"/>
      <c r="TPD50" s="162"/>
      <c r="TPE50" s="162"/>
      <c r="TPF50" s="162"/>
      <c r="TPG50" s="162"/>
      <c r="TPH50" s="162"/>
      <c r="TPI50" s="162"/>
      <c r="TPJ50" s="162"/>
      <c r="TPK50" s="162"/>
      <c r="TPL50" s="162"/>
      <c r="TPM50" s="162"/>
      <c r="TPN50" s="162"/>
      <c r="TPO50" s="162"/>
      <c r="TPP50" s="162"/>
      <c r="TPQ50" s="162"/>
      <c r="TPR50" s="162"/>
      <c r="TPS50" s="162"/>
      <c r="TPT50" s="162"/>
      <c r="TPU50" s="162"/>
      <c r="TPV50" s="162"/>
      <c r="TPW50" s="162"/>
      <c r="TPX50" s="162"/>
      <c r="TPY50" s="162"/>
      <c r="TPZ50" s="162"/>
      <c r="TQA50" s="162"/>
      <c r="TQB50" s="162"/>
      <c r="TQC50" s="162"/>
      <c r="TQD50" s="162"/>
      <c r="TQE50" s="162"/>
      <c r="TQF50" s="162"/>
      <c r="TQG50" s="162"/>
      <c r="TQH50" s="162"/>
      <c r="TQI50" s="162"/>
      <c r="TQJ50" s="162"/>
      <c r="TQK50" s="162"/>
      <c r="TQL50" s="162"/>
      <c r="TQM50" s="162"/>
      <c r="TQN50" s="162"/>
      <c r="TQO50" s="162"/>
      <c r="TQP50" s="162"/>
      <c r="TQQ50" s="162"/>
      <c r="TQR50" s="162"/>
      <c r="TQS50" s="162"/>
      <c r="TQT50" s="162"/>
      <c r="TQU50" s="162"/>
      <c r="TQV50" s="162"/>
      <c r="TQW50" s="162"/>
      <c r="TQX50" s="162"/>
      <c r="TQY50" s="162"/>
      <c r="TQZ50" s="162"/>
      <c r="TRA50" s="162"/>
      <c r="TRB50" s="162"/>
      <c r="TRC50" s="162"/>
      <c r="TRD50" s="162"/>
      <c r="TRE50" s="162"/>
      <c r="TRF50" s="162"/>
      <c r="TRG50" s="162"/>
      <c r="TRH50" s="162"/>
      <c r="TRI50" s="162"/>
      <c r="TRJ50" s="162"/>
      <c r="TRK50" s="162"/>
      <c r="TRL50" s="162"/>
      <c r="TRM50" s="162"/>
      <c r="TRN50" s="162"/>
      <c r="TRO50" s="162"/>
      <c r="TRP50" s="162"/>
      <c r="TRQ50" s="162"/>
      <c r="TRR50" s="162"/>
      <c r="TRS50" s="162"/>
      <c r="TRT50" s="162"/>
      <c r="TRU50" s="162"/>
      <c r="TRV50" s="162"/>
      <c r="TRW50" s="162"/>
      <c r="TRX50" s="162"/>
      <c r="TRY50" s="162"/>
      <c r="TRZ50" s="162"/>
      <c r="TSA50" s="162"/>
      <c r="TSB50" s="162"/>
      <c r="TSC50" s="162"/>
      <c r="TSD50" s="162"/>
      <c r="TSE50" s="162"/>
      <c r="TSF50" s="162"/>
      <c r="TSG50" s="162"/>
      <c r="TSH50" s="162"/>
      <c r="TSI50" s="162"/>
      <c r="TSJ50" s="162"/>
      <c r="TSK50" s="162"/>
      <c r="TSL50" s="162"/>
      <c r="TSM50" s="162"/>
      <c r="TSN50" s="162"/>
      <c r="TSO50" s="162"/>
      <c r="TSP50" s="162"/>
      <c r="TSQ50" s="162"/>
      <c r="TSR50" s="162"/>
      <c r="TSS50" s="162"/>
      <c r="TST50" s="162"/>
      <c r="TSU50" s="162"/>
      <c r="TSV50" s="162"/>
      <c r="TSW50" s="162"/>
      <c r="TSX50" s="162"/>
      <c r="TSY50" s="162"/>
      <c r="TSZ50" s="162"/>
      <c r="TTA50" s="162"/>
      <c r="TTB50" s="162"/>
      <c r="TTC50" s="162"/>
      <c r="TTD50" s="162"/>
      <c r="TTE50" s="162"/>
      <c r="TTF50" s="162"/>
      <c r="TTG50" s="162"/>
      <c r="TTH50" s="162"/>
      <c r="TTI50" s="162"/>
      <c r="TTJ50" s="162"/>
      <c r="TTK50" s="162"/>
      <c r="TTL50" s="162"/>
      <c r="TTM50" s="162"/>
      <c r="TTN50" s="162"/>
      <c r="TTO50" s="162"/>
      <c r="TTP50" s="162"/>
      <c r="TTQ50" s="162"/>
      <c r="TTR50" s="162"/>
      <c r="TTS50" s="162"/>
      <c r="TTT50" s="162"/>
      <c r="TTU50" s="162"/>
      <c r="TTV50" s="162"/>
      <c r="TTW50" s="162"/>
      <c r="TTX50" s="162"/>
      <c r="TTY50" s="162"/>
      <c r="TTZ50" s="162"/>
      <c r="TUA50" s="162"/>
      <c r="TUB50" s="162"/>
      <c r="TUC50" s="162"/>
      <c r="TUD50" s="162"/>
      <c r="TUE50" s="162"/>
      <c r="TUF50" s="162"/>
      <c r="TUG50" s="162"/>
      <c r="TUH50" s="162"/>
      <c r="TUI50" s="162"/>
      <c r="TUJ50" s="162"/>
      <c r="TUK50" s="162"/>
      <c r="TUL50" s="162"/>
      <c r="TUM50" s="162"/>
      <c r="TUN50" s="162"/>
      <c r="TUO50" s="162"/>
      <c r="TUP50" s="162"/>
      <c r="TUQ50" s="162"/>
      <c r="TUR50" s="162"/>
      <c r="TUS50" s="162"/>
      <c r="TUT50" s="162"/>
      <c r="TUU50" s="162"/>
      <c r="TUV50" s="162"/>
      <c r="TUW50" s="162"/>
      <c r="TUX50" s="162"/>
      <c r="TUY50" s="162"/>
      <c r="TUZ50" s="162"/>
      <c r="TVA50" s="162"/>
      <c r="TVB50" s="162"/>
      <c r="TVC50" s="162"/>
      <c r="TVD50" s="162"/>
      <c r="TVE50" s="162"/>
      <c r="TVF50" s="162"/>
      <c r="TVG50" s="162"/>
      <c r="TVH50" s="162"/>
      <c r="TVI50" s="162"/>
      <c r="TVJ50" s="162"/>
      <c r="TVK50" s="162"/>
      <c r="TVL50" s="162"/>
      <c r="TVM50" s="162"/>
      <c r="TVN50" s="162"/>
      <c r="TVO50" s="162"/>
      <c r="TVP50" s="162"/>
      <c r="TVQ50" s="162"/>
      <c r="TVR50" s="162"/>
      <c r="TVS50" s="162"/>
      <c r="TVT50" s="162"/>
      <c r="TVU50" s="162"/>
      <c r="TVV50" s="162"/>
      <c r="TVW50" s="162"/>
      <c r="TVX50" s="162"/>
      <c r="TVY50" s="162"/>
      <c r="TVZ50" s="162"/>
      <c r="TWA50" s="162"/>
      <c r="TWB50" s="162"/>
      <c r="TWC50" s="162"/>
      <c r="TWD50" s="162"/>
      <c r="TWE50" s="162"/>
      <c r="TWF50" s="162"/>
      <c r="TWG50" s="162"/>
      <c r="TWH50" s="162"/>
      <c r="TWI50" s="162"/>
      <c r="TWJ50" s="162"/>
      <c r="TWK50" s="162"/>
      <c r="TWL50" s="162"/>
      <c r="TWM50" s="162"/>
      <c r="TWN50" s="162"/>
      <c r="TWO50" s="162"/>
      <c r="TWP50" s="162"/>
      <c r="TWQ50" s="162"/>
      <c r="TWR50" s="162"/>
      <c r="TWS50" s="162"/>
      <c r="TWT50" s="162"/>
      <c r="TWU50" s="162"/>
      <c r="TWV50" s="162"/>
      <c r="TWW50" s="162"/>
      <c r="TWX50" s="162"/>
      <c r="TWY50" s="162"/>
      <c r="TWZ50" s="162"/>
      <c r="TXA50" s="162"/>
      <c r="TXB50" s="162"/>
      <c r="TXC50" s="162"/>
      <c r="TXD50" s="162"/>
      <c r="TXE50" s="162"/>
      <c r="TXF50" s="162"/>
      <c r="TXG50" s="162"/>
      <c r="TXH50" s="162"/>
      <c r="TXI50" s="162"/>
      <c r="TXJ50" s="162"/>
      <c r="TXK50" s="162"/>
      <c r="TXL50" s="162"/>
      <c r="TXM50" s="162"/>
      <c r="TXN50" s="162"/>
      <c r="TXO50" s="162"/>
      <c r="TXP50" s="162"/>
      <c r="TXQ50" s="162"/>
      <c r="TXR50" s="162"/>
      <c r="TXS50" s="162"/>
      <c r="TXT50" s="162"/>
      <c r="TXU50" s="162"/>
      <c r="TXV50" s="162"/>
      <c r="TXW50" s="162"/>
      <c r="TXX50" s="162"/>
      <c r="TXY50" s="162"/>
      <c r="TXZ50" s="162"/>
      <c r="TYA50" s="162"/>
      <c r="TYB50" s="162"/>
      <c r="TYC50" s="162"/>
      <c r="TYD50" s="162"/>
      <c r="TYE50" s="162"/>
      <c r="TYF50" s="162"/>
      <c r="TYG50" s="162"/>
      <c r="TYH50" s="162"/>
      <c r="TYI50" s="162"/>
      <c r="TYJ50" s="162"/>
      <c r="TYK50" s="162"/>
      <c r="TYL50" s="162"/>
      <c r="TYM50" s="162"/>
      <c r="TYN50" s="162"/>
      <c r="TYO50" s="162"/>
      <c r="TYP50" s="162"/>
      <c r="TYQ50" s="162"/>
      <c r="TYR50" s="162"/>
      <c r="TYS50" s="162"/>
      <c r="TYT50" s="162"/>
      <c r="TYU50" s="162"/>
      <c r="TYV50" s="162"/>
      <c r="TYW50" s="162"/>
      <c r="TYX50" s="162"/>
      <c r="TYY50" s="162"/>
      <c r="TYZ50" s="162"/>
      <c r="TZA50" s="162"/>
      <c r="TZB50" s="162"/>
      <c r="TZC50" s="162"/>
      <c r="TZD50" s="162"/>
      <c r="TZE50" s="162"/>
      <c r="TZF50" s="162"/>
      <c r="TZG50" s="162"/>
      <c r="TZH50" s="162"/>
      <c r="TZI50" s="162"/>
      <c r="TZJ50" s="162"/>
      <c r="TZK50" s="162"/>
      <c r="TZL50" s="162"/>
      <c r="TZM50" s="162"/>
      <c r="TZN50" s="162"/>
      <c r="TZO50" s="162"/>
      <c r="TZP50" s="162"/>
      <c r="TZQ50" s="162"/>
      <c r="TZR50" s="162"/>
      <c r="TZS50" s="162"/>
      <c r="TZT50" s="162"/>
      <c r="TZU50" s="162"/>
      <c r="TZV50" s="162"/>
      <c r="TZW50" s="162"/>
      <c r="TZX50" s="162"/>
      <c r="TZY50" s="162"/>
      <c r="TZZ50" s="162"/>
      <c r="UAA50" s="162"/>
      <c r="UAB50" s="162"/>
      <c r="UAC50" s="162"/>
      <c r="UAD50" s="162"/>
      <c r="UAE50" s="162"/>
      <c r="UAF50" s="162"/>
      <c r="UAG50" s="162"/>
      <c r="UAH50" s="162"/>
      <c r="UAI50" s="162"/>
      <c r="UAJ50" s="162"/>
      <c r="UAK50" s="162"/>
      <c r="UAL50" s="162"/>
      <c r="UAM50" s="162"/>
      <c r="UAN50" s="162"/>
      <c r="UAO50" s="162"/>
      <c r="UAP50" s="162"/>
      <c r="UAQ50" s="162"/>
      <c r="UAR50" s="162"/>
      <c r="UAS50" s="162"/>
      <c r="UAT50" s="162"/>
      <c r="UAU50" s="162"/>
      <c r="UAV50" s="162"/>
      <c r="UAW50" s="162"/>
      <c r="UAX50" s="162"/>
      <c r="UAY50" s="162"/>
      <c r="UAZ50" s="162"/>
      <c r="UBA50" s="162"/>
      <c r="UBB50" s="162"/>
      <c r="UBC50" s="162"/>
      <c r="UBD50" s="162"/>
      <c r="UBE50" s="162"/>
      <c r="UBF50" s="162"/>
      <c r="UBG50" s="162"/>
      <c r="UBH50" s="162"/>
      <c r="UBI50" s="162"/>
      <c r="UBJ50" s="162"/>
      <c r="UBK50" s="162"/>
      <c r="UBL50" s="162"/>
      <c r="UBM50" s="162"/>
      <c r="UBN50" s="162"/>
      <c r="UBO50" s="162"/>
      <c r="UBP50" s="162"/>
      <c r="UBQ50" s="162"/>
      <c r="UBR50" s="162"/>
      <c r="UBS50" s="162"/>
      <c r="UBT50" s="162"/>
      <c r="UBU50" s="162"/>
      <c r="UBV50" s="162"/>
      <c r="UBW50" s="162"/>
      <c r="UBX50" s="162"/>
      <c r="UBY50" s="162"/>
      <c r="UBZ50" s="162"/>
      <c r="UCA50" s="162"/>
      <c r="UCB50" s="162"/>
      <c r="UCC50" s="162"/>
      <c r="UCD50" s="162"/>
      <c r="UCE50" s="162"/>
      <c r="UCF50" s="162"/>
      <c r="UCG50" s="162"/>
      <c r="UCH50" s="162"/>
      <c r="UCI50" s="162"/>
      <c r="UCJ50" s="162"/>
      <c r="UCK50" s="162"/>
      <c r="UCL50" s="162"/>
      <c r="UCM50" s="162"/>
      <c r="UCN50" s="162"/>
      <c r="UCO50" s="162"/>
      <c r="UCP50" s="162"/>
      <c r="UCQ50" s="162"/>
      <c r="UCR50" s="162"/>
      <c r="UCS50" s="162"/>
      <c r="UCT50" s="162"/>
      <c r="UCU50" s="162"/>
      <c r="UCV50" s="162"/>
      <c r="UCW50" s="162"/>
      <c r="UCX50" s="162"/>
      <c r="UCY50" s="162"/>
      <c r="UCZ50" s="162"/>
      <c r="UDA50" s="162"/>
      <c r="UDB50" s="162"/>
      <c r="UDC50" s="162"/>
      <c r="UDD50" s="162"/>
      <c r="UDE50" s="162"/>
      <c r="UDF50" s="162"/>
      <c r="UDG50" s="162"/>
      <c r="UDH50" s="162"/>
      <c r="UDI50" s="162"/>
      <c r="UDJ50" s="162"/>
      <c r="UDK50" s="162"/>
      <c r="UDL50" s="162"/>
      <c r="UDM50" s="162"/>
      <c r="UDN50" s="162"/>
      <c r="UDO50" s="162"/>
      <c r="UDP50" s="162"/>
      <c r="UDQ50" s="162"/>
      <c r="UDR50" s="162"/>
      <c r="UDS50" s="162"/>
      <c r="UDT50" s="162"/>
      <c r="UDU50" s="162"/>
      <c r="UDV50" s="162"/>
      <c r="UDW50" s="162"/>
      <c r="UDX50" s="162"/>
      <c r="UDY50" s="162"/>
      <c r="UDZ50" s="162"/>
      <c r="UEA50" s="162"/>
      <c r="UEB50" s="162"/>
      <c r="UEC50" s="162"/>
      <c r="UED50" s="162"/>
      <c r="UEE50" s="162"/>
      <c r="UEF50" s="162"/>
      <c r="UEG50" s="162"/>
      <c r="UEH50" s="162"/>
      <c r="UEI50" s="162"/>
      <c r="UEJ50" s="162"/>
      <c r="UEK50" s="162"/>
      <c r="UEL50" s="162"/>
      <c r="UEM50" s="162"/>
      <c r="UEN50" s="162"/>
      <c r="UEO50" s="162"/>
      <c r="UEP50" s="162"/>
      <c r="UEQ50" s="162"/>
      <c r="UER50" s="162"/>
      <c r="UES50" s="162"/>
      <c r="UET50" s="162"/>
      <c r="UEU50" s="162"/>
      <c r="UEV50" s="162"/>
      <c r="UEW50" s="162"/>
      <c r="UEX50" s="162"/>
      <c r="UEY50" s="162"/>
      <c r="UEZ50" s="162"/>
      <c r="UFA50" s="162"/>
      <c r="UFB50" s="162"/>
      <c r="UFC50" s="162"/>
      <c r="UFD50" s="162"/>
      <c r="UFE50" s="162"/>
      <c r="UFF50" s="162"/>
      <c r="UFG50" s="162"/>
      <c r="UFH50" s="162"/>
      <c r="UFI50" s="162"/>
      <c r="UFJ50" s="162"/>
      <c r="UFK50" s="162"/>
      <c r="UFL50" s="162"/>
      <c r="UFM50" s="162"/>
      <c r="UFN50" s="162"/>
      <c r="UFO50" s="162"/>
      <c r="UFP50" s="162"/>
      <c r="UFQ50" s="162"/>
      <c r="UFR50" s="162"/>
      <c r="UFS50" s="162"/>
      <c r="UFT50" s="162"/>
      <c r="UFU50" s="162"/>
      <c r="UFV50" s="162"/>
      <c r="UFW50" s="162"/>
      <c r="UFX50" s="162"/>
      <c r="UFY50" s="162"/>
      <c r="UFZ50" s="162"/>
      <c r="UGA50" s="162"/>
      <c r="UGB50" s="162"/>
      <c r="UGC50" s="162"/>
      <c r="UGD50" s="162"/>
      <c r="UGE50" s="162"/>
      <c r="UGF50" s="162"/>
      <c r="UGG50" s="162"/>
      <c r="UGH50" s="162"/>
      <c r="UGI50" s="162"/>
      <c r="UGJ50" s="162"/>
      <c r="UGK50" s="162"/>
      <c r="UGL50" s="162"/>
      <c r="UGM50" s="162"/>
      <c r="UGN50" s="162"/>
      <c r="UGO50" s="162"/>
      <c r="UGP50" s="162"/>
      <c r="UGQ50" s="162"/>
      <c r="UGR50" s="162"/>
      <c r="UGS50" s="162"/>
      <c r="UGT50" s="162"/>
      <c r="UGU50" s="162"/>
      <c r="UGV50" s="162"/>
      <c r="UGW50" s="162"/>
      <c r="UGX50" s="162"/>
      <c r="UGY50" s="162"/>
      <c r="UGZ50" s="162"/>
      <c r="UHA50" s="162"/>
      <c r="UHB50" s="162"/>
      <c r="UHC50" s="162"/>
      <c r="UHD50" s="162"/>
      <c r="UHE50" s="162"/>
      <c r="UHF50" s="162"/>
      <c r="UHG50" s="162"/>
      <c r="UHH50" s="162"/>
      <c r="UHI50" s="162"/>
      <c r="UHJ50" s="162"/>
      <c r="UHK50" s="162"/>
      <c r="UHL50" s="162"/>
      <c r="UHM50" s="162"/>
      <c r="UHN50" s="162"/>
      <c r="UHO50" s="162"/>
      <c r="UHP50" s="162"/>
      <c r="UHQ50" s="162"/>
      <c r="UHR50" s="162"/>
      <c r="UHS50" s="162"/>
      <c r="UHT50" s="162"/>
      <c r="UHU50" s="162"/>
      <c r="UHV50" s="162"/>
      <c r="UHW50" s="162"/>
      <c r="UHX50" s="162"/>
      <c r="UHY50" s="162"/>
      <c r="UHZ50" s="162"/>
      <c r="UIA50" s="162"/>
      <c r="UIB50" s="162"/>
      <c r="UIC50" s="162"/>
      <c r="UID50" s="162"/>
      <c r="UIE50" s="162"/>
      <c r="UIF50" s="162"/>
      <c r="UIG50" s="162"/>
      <c r="UIH50" s="162"/>
      <c r="UII50" s="162"/>
      <c r="UIJ50" s="162"/>
      <c r="UIK50" s="162"/>
      <c r="UIL50" s="162"/>
      <c r="UIM50" s="162"/>
      <c r="UIN50" s="162"/>
      <c r="UIO50" s="162"/>
      <c r="UIP50" s="162"/>
      <c r="UIQ50" s="162"/>
      <c r="UIR50" s="162"/>
      <c r="UIS50" s="162"/>
      <c r="UIT50" s="162"/>
      <c r="UIU50" s="162"/>
      <c r="UIV50" s="162"/>
      <c r="UIW50" s="162"/>
      <c r="UIX50" s="162"/>
      <c r="UIY50" s="162"/>
      <c r="UIZ50" s="162"/>
      <c r="UJA50" s="162"/>
      <c r="UJB50" s="162"/>
      <c r="UJC50" s="162"/>
      <c r="UJD50" s="162"/>
      <c r="UJE50" s="162"/>
      <c r="UJF50" s="162"/>
      <c r="UJG50" s="162"/>
      <c r="UJH50" s="162"/>
      <c r="UJI50" s="162"/>
      <c r="UJJ50" s="162"/>
      <c r="UJK50" s="162"/>
      <c r="UJL50" s="162"/>
      <c r="UJM50" s="162"/>
      <c r="UJN50" s="162"/>
      <c r="UJO50" s="162"/>
      <c r="UJP50" s="162"/>
      <c r="UJQ50" s="162"/>
      <c r="UJR50" s="162"/>
      <c r="UJS50" s="162"/>
      <c r="UJT50" s="162"/>
      <c r="UJU50" s="162"/>
      <c r="UJV50" s="162"/>
      <c r="UJW50" s="162"/>
      <c r="UJX50" s="162"/>
      <c r="UJY50" s="162"/>
      <c r="UJZ50" s="162"/>
      <c r="UKA50" s="162"/>
      <c r="UKB50" s="162"/>
      <c r="UKC50" s="162"/>
      <c r="UKD50" s="162"/>
      <c r="UKE50" s="162"/>
      <c r="UKF50" s="162"/>
      <c r="UKG50" s="162"/>
      <c r="UKH50" s="162"/>
      <c r="UKI50" s="162"/>
      <c r="UKJ50" s="162"/>
      <c r="UKK50" s="162"/>
      <c r="UKL50" s="162"/>
      <c r="UKM50" s="162"/>
      <c r="UKN50" s="162"/>
      <c r="UKO50" s="162"/>
      <c r="UKP50" s="162"/>
      <c r="UKQ50" s="162"/>
      <c r="UKR50" s="162"/>
      <c r="UKS50" s="162"/>
      <c r="UKT50" s="162"/>
      <c r="UKU50" s="162"/>
      <c r="UKV50" s="162"/>
      <c r="UKW50" s="162"/>
      <c r="UKX50" s="162"/>
      <c r="UKY50" s="162"/>
      <c r="UKZ50" s="162"/>
      <c r="ULA50" s="162"/>
      <c r="ULB50" s="162"/>
      <c r="ULC50" s="162"/>
      <c r="ULD50" s="162"/>
      <c r="ULE50" s="162"/>
      <c r="ULF50" s="162"/>
      <c r="ULG50" s="162"/>
      <c r="ULH50" s="162"/>
      <c r="ULI50" s="162"/>
      <c r="ULJ50" s="162"/>
      <c r="ULK50" s="162"/>
      <c r="ULL50" s="162"/>
      <c r="ULM50" s="162"/>
      <c r="ULN50" s="162"/>
      <c r="ULO50" s="162"/>
      <c r="ULP50" s="162"/>
      <c r="ULQ50" s="162"/>
      <c r="ULR50" s="162"/>
      <c r="ULS50" s="162"/>
      <c r="ULT50" s="162"/>
      <c r="ULU50" s="162"/>
      <c r="ULV50" s="162"/>
      <c r="ULW50" s="162"/>
      <c r="ULX50" s="162"/>
      <c r="ULY50" s="162"/>
      <c r="ULZ50" s="162"/>
      <c r="UMA50" s="162"/>
      <c r="UMB50" s="162"/>
      <c r="UMC50" s="162"/>
      <c r="UMD50" s="162"/>
      <c r="UME50" s="162"/>
      <c r="UMF50" s="162"/>
      <c r="UMG50" s="162"/>
      <c r="UMH50" s="162"/>
      <c r="UMI50" s="162"/>
      <c r="UMJ50" s="162"/>
      <c r="UMK50" s="162"/>
      <c r="UML50" s="162"/>
      <c r="UMM50" s="162"/>
      <c r="UMN50" s="162"/>
      <c r="UMO50" s="162"/>
      <c r="UMP50" s="162"/>
      <c r="UMQ50" s="162"/>
      <c r="UMR50" s="162"/>
      <c r="UMS50" s="162"/>
      <c r="UMT50" s="162"/>
      <c r="UMU50" s="162"/>
      <c r="UMV50" s="162"/>
      <c r="UMW50" s="162"/>
      <c r="UMX50" s="162"/>
      <c r="UMY50" s="162"/>
      <c r="UMZ50" s="162"/>
      <c r="UNA50" s="162"/>
      <c r="UNB50" s="162"/>
      <c r="UNC50" s="162"/>
      <c r="UND50" s="162"/>
      <c r="UNE50" s="162"/>
      <c r="UNF50" s="162"/>
      <c r="UNG50" s="162"/>
      <c r="UNH50" s="162"/>
      <c r="UNI50" s="162"/>
      <c r="UNJ50" s="162"/>
      <c r="UNK50" s="162"/>
      <c r="UNL50" s="162"/>
      <c r="UNM50" s="162"/>
      <c r="UNN50" s="162"/>
      <c r="UNO50" s="162"/>
      <c r="UNP50" s="162"/>
      <c r="UNQ50" s="162"/>
      <c r="UNR50" s="162"/>
      <c r="UNS50" s="162"/>
      <c r="UNT50" s="162"/>
      <c r="UNU50" s="162"/>
      <c r="UNV50" s="162"/>
      <c r="UNW50" s="162"/>
      <c r="UNX50" s="162"/>
      <c r="UNY50" s="162"/>
      <c r="UNZ50" s="162"/>
      <c r="UOA50" s="162"/>
      <c r="UOB50" s="162"/>
      <c r="UOC50" s="162"/>
      <c r="UOD50" s="162"/>
      <c r="UOE50" s="162"/>
      <c r="UOF50" s="162"/>
      <c r="UOG50" s="162"/>
      <c r="UOH50" s="162"/>
      <c r="UOI50" s="162"/>
      <c r="UOJ50" s="162"/>
      <c r="UOK50" s="162"/>
      <c r="UOL50" s="162"/>
      <c r="UOM50" s="162"/>
      <c r="UON50" s="162"/>
      <c r="UOO50" s="162"/>
      <c r="UOP50" s="162"/>
      <c r="UOQ50" s="162"/>
      <c r="UOR50" s="162"/>
      <c r="UOS50" s="162"/>
      <c r="UOT50" s="162"/>
      <c r="UOU50" s="162"/>
      <c r="UOV50" s="162"/>
      <c r="UOW50" s="162"/>
      <c r="UOX50" s="162"/>
      <c r="UOY50" s="162"/>
      <c r="UOZ50" s="162"/>
      <c r="UPA50" s="162"/>
      <c r="UPB50" s="162"/>
      <c r="UPC50" s="162"/>
      <c r="UPD50" s="162"/>
      <c r="UPE50" s="162"/>
      <c r="UPF50" s="162"/>
      <c r="UPG50" s="162"/>
      <c r="UPH50" s="162"/>
      <c r="UPI50" s="162"/>
      <c r="UPJ50" s="162"/>
      <c r="UPK50" s="162"/>
      <c r="UPL50" s="162"/>
      <c r="UPM50" s="162"/>
      <c r="UPN50" s="162"/>
      <c r="UPO50" s="162"/>
      <c r="UPP50" s="162"/>
      <c r="UPQ50" s="162"/>
      <c r="UPR50" s="162"/>
      <c r="UPS50" s="162"/>
      <c r="UPT50" s="162"/>
      <c r="UPU50" s="162"/>
      <c r="UPV50" s="162"/>
      <c r="UPW50" s="162"/>
      <c r="UPX50" s="162"/>
      <c r="UPY50" s="162"/>
      <c r="UPZ50" s="162"/>
      <c r="UQA50" s="162"/>
      <c r="UQB50" s="162"/>
      <c r="UQC50" s="162"/>
      <c r="UQD50" s="162"/>
      <c r="UQE50" s="162"/>
      <c r="UQF50" s="162"/>
      <c r="UQG50" s="162"/>
      <c r="UQH50" s="162"/>
      <c r="UQI50" s="162"/>
      <c r="UQJ50" s="162"/>
      <c r="UQK50" s="162"/>
      <c r="UQL50" s="162"/>
      <c r="UQM50" s="162"/>
      <c r="UQN50" s="162"/>
      <c r="UQO50" s="162"/>
      <c r="UQP50" s="162"/>
      <c r="UQQ50" s="162"/>
      <c r="UQR50" s="162"/>
      <c r="UQS50" s="162"/>
      <c r="UQT50" s="162"/>
      <c r="UQU50" s="162"/>
      <c r="UQV50" s="162"/>
      <c r="UQW50" s="162"/>
      <c r="UQX50" s="162"/>
      <c r="UQY50" s="162"/>
      <c r="UQZ50" s="162"/>
      <c r="URA50" s="162"/>
      <c r="URB50" s="162"/>
      <c r="URC50" s="162"/>
      <c r="URD50" s="162"/>
      <c r="URE50" s="162"/>
      <c r="URF50" s="162"/>
      <c r="URG50" s="162"/>
      <c r="URH50" s="162"/>
      <c r="URI50" s="162"/>
      <c r="URJ50" s="162"/>
      <c r="URK50" s="162"/>
      <c r="URL50" s="162"/>
      <c r="URM50" s="162"/>
      <c r="URN50" s="162"/>
      <c r="URO50" s="162"/>
      <c r="URP50" s="162"/>
      <c r="URQ50" s="162"/>
      <c r="URR50" s="162"/>
      <c r="URS50" s="162"/>
      <c r="URT50" s="162"/>
      <c r="URU50" s="162"/>
      <c r="URV50" s="162"/>
      <c r="URW50" s="162"/>
      <c r="URX50" s="162"/>
      <c r="URY50" s="162"/>
      <c r="URZ50" s="162"/>
      <c r="USA50" s="162"/>
      <c r="USB50" s="162"/>
      <c r="USC50" s="162"/>
      <c r="USD50" s="162"/>
      <c r="USE50" s="162"/>
      <c r="USF50" s="162"/>
      <c r="USG50" s="162"/>
      <c r="USH50" s="162"/>
      <c r="USI50" s="162"/>
      <c r="USJ50" s="162"/>
      <c r="USK50" s="162"/>
      <c r="USL50" s="162"/>
      <c r="USM50" s="162"/>
      <c r="USN50" s="162"/>
      <c r="USO50" s="162"/>
      <c r="USP50" s="162"/>
      <c r="USQ50" s="162"/>
      <c r="USR50" s="162"/>
      <c r="USS50" s="162"/>
      <c r="UST50" s="162"/>
      <c r="USU50" s="162"/>
      <c r="USV50" s="162"/>
      <c r="USW50" s="162"/>
      <c r="USX50" s="162"/>
      <c r="USY50" s="162"/>
      <c r="USZ50" s="162"/>
      <c r="UTA50" s="162"/>
      <c r="UTB50" s="162"/>
      <c r="UTC50" s="162"/>
      <c r="UTD50" s="162"/>
      <c r="UTE50" s="162"/>
      <c r="UTF50" s="162"/>
      <c r="UTG50" s="162"/>
      <c r="UTH50" s="162"/>
      <c r="UTI50" s="162"/>
      <c r="UTJ50" s="162"/>
      <c r="UTK50" s="162"/>
      <c r="UTL50" s="162"/>
      <c r="UTM50" s="162"/>
      <c r="UTN50" s="162"/>
      <c r="UTO50" s="162"/>
      <c r="UTP50" s="162"/>
      <c r="UTQ50" s="162"/>
      <c r="UTR50" s="162"/>
      <c r="UTS50" s="162"/>
      <c r="UTT50" s="162"/>
      <c r="UTU50" s="162"/>
      <c r="UTV50" s="162"/>
      <c r="UTW50" s="162"/>
      <c r="UTX50" s="162"/>
      <c r="UTY50" s="162"/>
      <c r="UTZ50" s="162"/>
      <c r="UUA50" s="162"/>
      <c r="UUB50" s="162"/>
      <c r="UUC50" s="162"/>
      <c r="UUD50" s="162"/>
      <c r="UUE50" s="162"/>
      <c r="UUF50" s="162"/>
      <c r="UUG50" s="162"/>
      <c r="UUH50" s="162"/>
      <c r="UUI50" s="162"/>
      <c r="UUJ50" s="162"/>
      <c r="UUK50" s="162"/>
      <c r="UUL50" s="162"/>
      <c r="UUM50" s="162"/>
      <c r="UUN50" s="162"/>
      <c r="UUO50" s="162"/>
      <c r="UUP50" s="162"/>
      <c r="UUQ50" s="162"/>
      <c r="UUR50" s="162"/>
      <c r="UUS50" s="162"/>
      <c r="UUT50" s="162"/>
      <c r="UUU50" s="162"/>
      <c r="UUV50" s="162"/>
      <c r="UUW50" s="162"/>
      <c r="UUX50" s="162"/>
      <c r="UUY50" s="162"/>
      <c r="UUZ50" s="162"/>
      <c r="UVA50" s="162"/>
      <c r="UVB50" s="162"/>
      <c r="UVC50" s="162"/>
      <c r="UVD50" s="162"/>
      <c r="UVE50" s="162"/>
      <c r="UVF50" s="162"/>
      <c r="UVG50" s="162"/>
      <c r="UVH50" s="162"/>
      <c r="UVI50" s="162"/>
      <c r="UVJ50" s="162"/>
      <c r="UVK50" s="162"/>
      <c r="UVL50" s="162"/>
      <c r="UVM50" s="162"/>
      <c r="UVN50" s="162"/>
      <c r="UVO50" s="162"/>
      <c r="UVP50" s="162"/>
      <c r="UVQ50" s="162"/>
      <c r="UVR50" s="162"/>
      <c r="UVS50" s="162"/>
      <c r="UVT50" s="162"/>
      <c r="UVU50" s="162"/>
      <c r="UVV50" s="162"/>
      <c r="UVW50" s="162"/>
      <c r="UVX50" s="162"/>
      <c r="UVY50" s="162"/>
      <c r="UVZ50" s="162"/>
      <c r="UWA50" s="162"/>
      <c r="UWB50" s="162"/>
      <c r="UWC50" s="162"/>
      <c r="UWD50" s="162"/>
      <c r="UWE50" s="162"/>
      <c r="UWF50" s="162"/>
      <c r="UWG50" s="162"/>
      <c r="UWH50" s="162"/>
      <c r="UWI50" s="162"/>
      <c r="UWJ50" s="162"/>
      <c r="UWK50" s="162"/>
      <c r="UWL50" s="162"/>
      <c r="UWM50" s="162"/>
      <c r="UWN50" s="162"/>
      <c r="UWO50" s="162"/>
      <c r="UWP50" s="162"/>
      <c r="UWQ50" s="162"/>
      <c r="UWR50" s="162"/>
      <c r="UWS50" s="162"/>
      <c r="UWT50" s="162"/>
      <c r="UWU50" s="162"/>
      <c r="UWV50" s="162"/>
      <c r="UWW50" s="162"/>
      <c r="UWX50" s="162"/>
      <c r="UWY50" s="162"/>
      <c r="UWZ50" s="162"/>
      <c r="UXA50" s="162"/>
      <c r="UXB50" s="162"/>
      <c r="UXC50" s="162"/>
      <c r="UXD50" s="162"/>
      <c r="UXE50" s="162"/>
      <c r="UXF50" s="162"/>
      <c r="UXG50" s="162"/>
      <c r="UXH50" s="162"/>
      <c r="UXI50" s="162"/>
      <c r="UXJ50" s="162"/>
      <c r="UXK50" s="162"/>
      <c r="UXL50" s="162"/>
      <c r="UXM50" s="162"/>
      <c r="UXN50" s="162"/>
      <c r="UXO50" s="162"/>
      <c r="UXP50" s="162"/>
      <c r="UXQ50" s="162"/>
      <c r="UXR50" s="162"/>
      <c r="UXS50" s="162"/>
      <c r="UXT50" s="162"/>
      <c r="UXU50" s="162"/>
      <c r="UXV50" s="162"/>
      <c r="UXW50" s="162"/>
      <c r="UXX50" s="162"/>
      <c r="UXY50" s="162"/>
      <c r="UXZ50" s="162"/>
      <c r="UYA50" s="162"/>
      <c r="UYB50" s="162"/>
      <c r="UYC50" s="162"/>
      <c r="UYD50" s="162"/>
      <c r="UYE50" s="162"/>
      <c r="UYF50" s="162"/>
      <c r="UYG50" s="162"/>
      <c r="UYH50" s="162"/>
      <c r="UYI50" s="162"/>
      <c r="UYJ50" s="162"/>
      <c r="UYK50" s="162"/>
      <c r="UYL50" s="162"/>
      <c r="UYM50" s="162"/>
      <c r="UYN50" s="162"/>
      <c r="UYO50" s="162"/>
      <c r="UYP50" s="162"/>
      <c r="UYQ50" s="162"/>
      <c r="UYR50" s="162"/>
      <c r="UYS50" s="162"/>
      <c r="UYT50" s="162"/>
      <c r="UYU50" s="162"/>
      <c r="UYV50" s="162"/>
      <c r="UYW50" s="162"/>
      <c r="UYX50" s="162"/>
      <c r="UYY50" s="162"/>
      <c r="UYZ50" s="162"/>
      <c r="UZA50" s="162"/>
      <c r="UZB50" s="162"/>
      <c r="UZC50" s="162"/>
      <c r="UZD50" s="162"/>
      <c r="UZE50" s="162"/>
      <c r="UZF50" s="162"/>
      <c r="UZG50" s="162"/>
      <c r="UZH50" s="162"/>
      <c r="UZI50" s="162"/>
      <c r="UZJ50" s="162"/>
      <c r="UZK50" s="162"/>
      <c r="UZL50" s="162"/>
      <c r="UZM50" s="162"/>
      <c r="UZN50" s="162"/>
      <c r="UZO50" s="162"/>
      <c r="UZP50" s="162"/>
      <c r="UZQ50" s="162"/>
      <c r="UZR50" s="162"/>
      <c r="UZS50" s="162"/>
      <c r="UZT50" s="162"/>
      <c r="UZU50" s="162"/>
      <c r="UZV50" s="162"/>
      <c r="UZW50" s="162"/>
      <c r="UZX50" s="162"/>
      <c r="UZY50" s="162"/>
      <c r="UZZ50" s="162"/>
      <c r="VAA50" s="162"/>
      <c r="VAB50" s="162"/>
      <c r="VAC50" s="162"/>
      <c r="VAD50" s="162"/>
      <c r="VAE50" s="162"/>
      <c r="VAF50" s="162"/>
      <c r="VAG50" s="162"/>
      <c r="VAH50" s="162"/>
      <c r="VAI50" s="162"/>
      <c r="VAJ50" s="162"/>
      <c r="VAK50" s="162"/>
      <c r="VAL50" s="162"/>
      <c r="VAM50" s="162"/>
      <c r="VAN50" s="162"/>
      <c r="VAO50" s="162"/>
      <c r="VAP50" s="162"/>
      <c r="VAQ50" s="162"/>
      <c r="VAR50" s="162"/>
      <c r="VAS50" s="162"/>
      <c r="VAT50" s="162"/>
      <c r="VAU50" s="162"/>
      <c r="VAV50" s="162"/>
      <c r="VAW50" s="162"/>
      <c r="VAX50" s="162"/>
      <c r="VAY50" s="162"/>
      <c r="VAZ50" s="162"/>
      <c r="VBA50" s="162"/>
      <c r="VBB50" s="162"/>
      <c r="VBC50" s="162"/>
      <c r="VBD50" s="162"/>
      <c r="VBE50" s="162"/>
      <c r="VBF50" s="162"/>
      <c r="VBG50" s="162"/>
      <c r="VBH50" s="162"/>
      <c r="VBI50" s="162"/>
      <c r="VBJ50" s="162"/>
      <c r="VBK50" s="162"/>
      <c r="VBL50" s="162"/>
      <c r="VBM50" s="162"/>
      <c r="VBN50" s="162"/>
      <c r="VBO50" s="162"/>
      <c r="VBP50" s="162"/>
      <c r="VBQ50" s="162"/>
      <c r="VBR50" s="162"/>
      <c r="VBS50" s="162"/>
      <c r="VBT50" s="162"/>
      <c r="VBU50" s="162"/>
      <c r="VBV50" s="162"/>
      <c r="VBW50" s="162"/>
      <c r="VBX50" s="162"/>
      <c r="VBY50" s="162"/>
      <c r="VBZ50" s="162"/>
      <c r="VCA50" s="162"/>
      <c r="VCB50" s="162"/>
      <c r="VCC50" s="162"/>
      <c r="VCD50" s="162"/>
      <c r="VCE50" s="162"/>
      <c r="VCF50" s="162"/>
      <c r="VCG50" s="162"/>
      <c r="VCH50" s="162"/>
      <c r="VCI50" s="162"/>
      <c r="VCJ50" s="162"/>
      <c r="VCK50" s="162"/>
      <c r="VCL50" s="162"/>
      <c r="VCM50" s="162"/>
      <c r="VCN50" s="162"/>
      <c r="VCO50" s="162"/>
      <c r="VCP50" s="162"/>
      <c r="VCQ50" s="162"/>
      <c r="VCR50" s="162"/>
      <c r="VCS50" s="162"/>
      <c r="VCT50" s="162"/>
      <c r="VCU50" s="162"/>
      <c r="VCV50" s="162"/>
      <c r="VCW50" s="162"/>
      <c r="VCX50" s="162"/>
      <c r="VCY50" s="162"/>
      <c r="VCZ50" s="162"/>
      <c r="VDA50" s="162"/>
      <c r="VDB50" s="162"/>
      <c r="VDC50" s="162"/>
      <c r="VDD50" s="162"/>
      <c r="VDE50" s="162"/>
      <c r="VDF50" s="162"/>
      <c r="VDG50" s="162"/>
      <c r="VDH50" s="162"/>
      <c r="VDI50" s="162"/>
      <c r="VDJ50" s="162"/>
      <c r="VDK50" s="162"/>
      <c r="VDL50" s="162"/>
      <c r="VDM50" s="162"/>
      <c r="VDN50" s="162"/>
      <c r="VDO50" s="162"/>
      <c r="VDP50" s="162"/>
      <c r="VDQ50" s="162"/>
      <c r="VDR50" s="162"/>
      <c r="VDS50" s="162"/>
      <c r="VDT50" s="162"/>
      <c r="VDU50" s="162"/>
      <c r="VDV50" s="162"/>
      <c r="VDW50" s="162"/>
      <c r="VDX50" s="162"/>
      <c r="VDY50" s="162"/>
      <c r="VDZ50" s="162"/>
      <c r="VEA50" s="162"/>
      <c r="VEB50" s="162"/>
      <c r="VEC50" s="162"/>
      <c r="VED50" s="162"/>
      <c r="VEE50" s="162"/>
      <c r="VEF50" s="162"/>
      <c r="VEG50" s="162"/>
      <c r="VEH50" s="162"/>
      <c r="VEI50" s="162"/>
      <c r="VEJ50" s="162"/>
      <c r="VEK50" s="162"/>
      <c r="VEL50" s="162"/>
      <c r="VEM50" s="162"/>
      <c r="VEN50" s="162"/>
      <c r="VEO50" s="162"/>
      <c r="VEP50" s="162"/>
      <c r="VEQ50" s="162"/>
      <c r="VER50" s="162"/>
      <c r="VES50" s="162"/>
      <c r="VET50" s="162"/>
      <c r="VEU50" s="162"/>
      <c r="VEV50" s="162"/>
      <c r="VEW50" s="162"/>
      <c r="VEX50" s="162"/>
      <c r="VEY50" s="162"/>
      <c r="VEZ50" s="162"/>
      <c r="VFA50" s="162"/>
      <c r="VFB50" s="162"/>
      <c r="VFC50" s="162"/>
      <c r="VFD50" s="162"/>
      <c r="VFE50" s="162"/>
      <c r="VFF50" s="162"/>
      <c r="VFG50" s="162"/>
      <c r="VFH50" s="162"/>
      <c r="VFI50" s="162"/>
      <c r="VFJ50" s="162"/>
      <c r="VFK50" s="162"/>
      <c r="VFL50" s="162"/>
      <c r="VFM50" s="162"/>
      <c r="VFN50" s="162"/>
      <c r="VFO50" s="162"/>
      <c r="VFP50" s="162"/>
      <c r="VFQ50" s="162"/>
      <c r="VFR50" s="162"/>
      <c r="VFS50" s="162"/>
      <c r="VFT50" s="162"/>
      <c r="VFU50" s="162"/>
      <c r="VFV50" s="162"/>
      <c r="VFW50" s="162"/>
      <c r="VFX50" s="162"/>
      <c r="VFY50" s="162"/>
      <c r="VFZ50" s="162"/>
      <c r="VGA50" s="162"/>
      <c r="VGB50" s="162"/>
      <c r="VGC50" s="162"/>
      <c r="VGD50" s="162"/>
      <c r="VGE50" s="162"/>
      <c r="VGF50" s="162"/>
      <c r="VGG50" s="162"/>
      <c r="VGH50" s="162"/>
      <c r="VGI50" s="162"/>
      <c r="VGJ50" s="162"/>
      <c r="VGK50" s="162"/>
      <c r="VGL50" s="162"/>
      <c r="VGM50" s="162"/>
      <c r="VGN50" s="162"/>
      <c r="VGO50" s="162"/>
      <c r="VGP50" s="162"/>
      <c r="VGQ50" s="162"/>
      <c r="VGR50" s="162"/>
      <c r="VGS50" s="162"/>
      <c r="VGT50" s="162"/>
      <c r="VGU50" s="162"/>
      <c r="VGV50" s="162"/>
      <c r="VGW50" s="162"/>
      <c r="VGX50" s="162"/>
      <c r="VGY50" s="162"/>
      <c r="VGZ50" s="162"/>
      <c r="VHA50" s="162"/>
      <c r="VHB50" s="162"/>
      <c r="VHC50" s="162"/>
      <c r="VHD50" s="162"/>
      <c r="VHE50" s="162"/>
      <c r="VHF50" s="162"/>
      <c r="VHG50" s="162"/>
      <c r="VHH50" s="162"/>
      <c r="VHI50" s="162"/>
      <c r="VHJ50" s="162"/>
      <c r="VHK50" s="162"/>
      <c r="VHL50" s="162"/>
      <c r="VHM50" s="162"/>
      <c r="VHN50" s="162"/>
      <c r="VHO50" s="162"/>
      <c r="VHP50" s="162"/>
      <c r="VHQ50" s="162"/>
      <c r="VHR50" s="162"/>
      <c r="VHS50" s="162"/>
      <c r="VHT50" s="162"/>
      <c r="VHU50" s="162"/>
      <c r="VHV50" s="162"/>
      <c r="VHW50" s="162"/>
      <c r="VHX50" s="162"/>
      <c r="VHY50" s="162"/>
      <c r="VHZ50" s="162"/>
      <c r="VIA50" s="162"/>
      <c r="VIB50" s="162"/>
      <c r="VIC50" s="162"/>
      <c r="VID50" s="162"/>
      <c r="VIE50" s="162"/>
      <c r="VIF50" s="162"/>
      <c r="VIG50" s="162"/>
      <c r="VIH50" s="162"/>
      <c r="VII50" s="162"/>
      <c r="VIJ50" s="162"/>
      <c r="VIK50" s="162"/>
      <c r="VIL50" s="162"/>
      <c r="VIM50" s="162"/>
      <c r="VIN50" s="162"/>
      <c r="VIO50" s="162"/>
      <c r="VIP50" s="162"/>
      <c r="VIQ50" s="162"/>
      <c r="VIR50" s="162"/>
      <c r="VIS50" s="162"/>
      <c r="VIT50" s="162"/>
      <c r="VIU50" s="162"/>
      <c r="VIV50" s="162"/>
      <c r="VIW50" s="162"/>
      <c r="VIX50" s="162"/>
      <c r="VIY50" s="162"/>
      <c r="VIZ50" s="162"/>
      <c r="VJA50" s="162"/>
      <c r="VJB50" s="162"/>
      <c r="VJC50" s="162"/>
      <c r="VJD50" s="162"/>
      <c r="VJE50" s="162"/>
      <c r="VJF50" s="162"/>
      <c r="VJG50" s="162"/>
      <c r="VJH50" s="162"/>
      <c r="VJI50" s="162"/>
      <c r="VJJ50" s="162"/>
      <c r="VJK50" s="162"/>
      <c r="VJL50" s="162"/>
      <c r="VJM50" s="162"/>
      <c r="VJN50" s="162"/>
      <c r="VJO50" s="162"/>
      <c r="VJP50" s="162"/>
      <c r="VJQ50" s="162"/>
      <c r="VJR50" s="162"/>
      <c r="VJS50" s="162"/>
      <c r="VJT50" s="162"/>
      <c r="VJU50" s="162"/>
      <c r="VJV50" s="162"/>
      <c r="VJW50" s="162"/>
      <c r="VJX50" s="162"/>
      <c r="VJY50" s="162"/>
      <c r="VJZ50" s="162"/>
      <c r="VKA50" s="162"/>
      <c r="VKB50" s="162"/>
      <c r="VKC50" s="162"/>
      <c r="VKD50" s="162"/>
      <c r="VKE50" s="162"/>
      <c r="VKF50" s="162"/>
      <c r="VKG50" s="162"/>
      <c r="VKH50" s="162"/>
      <c r="VKI50" s="162"/>
      <c r="VKJ50" s="162"/>
      <c r="VKK50" s="162"/>
      <c r="VKL50" s="162"/>
      <c r="VKM50" s="162"/>
      <c r="VKN50" s="162"/>
      <c r="VKO50" s="162"/>
      <c r="VKP50" s="162"/>
      <c r="VKQ50" s="162"/>
      <c r="VKR50" s="162"/>
      <c r="VKS50" s="162"/>
      <c r="VKT50" s="162"/>
      <c r="VKU50" s="162"/>
      <c r="VKV50" s="162"/>
      <c r="VKW50" s="162"/>
      <c r="VKX50" s="162"/>
      <c r="VKY50" s="162"/>
      <c r="VKZ50" s="162"/>
      <c r="VLA50" s="162"/>
      <c r="VLB50" s="162"/>
      <c r="VLC50" s="162"/>
      <c r="VLD50" s="162"/>
      <c r="VLE50" s="162"/>
      <c r="VLF50" s="162"/>
      <c r="VLG50" s="162"/>
      <c r="VLH50" s="162"/>
      <c r="VLI50" s="162"/>
      <c r="VLJ50" s="162"/>
      <c r="VLK50" s="162"/>
      <c r="VLL50" s="162"/>
      <c r="VLM50" s="162"/>
      <c r="VLN50" s="162"/>
      <c r="VLO50" s="162"/>
      <c r="VLP50" s="162"/>
      <c r="VLQ50" s="162"/>
      <c r="VLR50" s="162"/>
      <c r="VLS50" s="162"/>
      <c r="VLT50" s="162"/>
      <c r="VLU50" s="162"/>
      <c r="VLV50" s="162"/>
      <c r="VLW50" s="162"/>
      <c r="VLX50" s="162"/>
      <c r="VLY50" s="162"/>
      <c r="VLZ50" s="162"/>
      <c r="VMA50" s="162"/>
      <c r="VMB50" s="162"/>
      <c r="VMC50" s="162"/>
      <c r="VMD50" s="162"/>
      <c r="VME50" s="162"/>
      <c r="VMF50" s="162"/>
      <c r="VMG50" s="162"/>
      <c r="VMH50" s="162"/>
      <c r="VMI50" s="162"/>
      <c r="VMJ50" s="162"/>
      <c r="VMK50" s="162"/>
      <c r="VML50" s="162"/>
      <c r="VMM50" s="162"/>
      <c r="VMN50" s="162"/>
      <c r="VMO50" s="162"/>
      <c r="VMP50" s="162"/>
      <c r="VMQ50" s="162"/>
      <c r="VMR50" s="162"/>
      <c r="VMS50" s="162"/>
      <c r="VMT50" s="162"/>
      <c r="VMU50" s="162"/>
      <c r="VMV50" s="162"/>
      <c r="VMW50" s="162"/>
      <c r="VMX50" s="162"/>
      <c r="VMY50" s="162"/>
      <c r="VMZ50" s="162"/>
      <c r="VNA50" s="162"/>
      <c r="VNB50" s="162"/>
      <c r="VNC50" s="162"/>
      <c r="VND50" s="162"/>
      <c r="VNE50" s="162"/>
      <c r="VNF50" s="162"/>
      <c r="VNG50" s="162"/>
      <c r="VNH50" s="162"/>
      <c r="VNI50" s="162"/>
      <c r="VNJ50" s="162"/>
      <c r="VNK50" s="162"/>
      <c r="VNL50" s="162"/>
      <c r="VNM50" s="162"/>
      <c r="VNN50" s="162"/>
      <c r="VNO50" s="162"/>
      <c r="VNP50" s="162"/>
      <c r="VNQ50" s="162"/>
      <c r="VNR50" s="162"/>
      <c r="VNS50" s="162"/>
      <c r="VNT50" s="162"/>
      <c r="VNU50" s="162"/>
      <c r="VNV50" s="162"/>
      <c r="VNW50" s="162"/>
      <c r="VNX50" s="162"/>
      <c r="VNY50" s="162"/>
      <c r="VNZ50" s="162"/>
      <c r="VOA50" s="162"/>
      <c r="VOB50" s="162"/>
      <c r="VOC50" s="162"/>
      <c r="VOD50" s="162"/>
      <c r="VOE50" s="162"/>
      <c r="VOF50" s="162"/>
      <c r="VOG50" s="162"/>
      <c r="VOH50" s="162"/>
      <c r="VOI50" s="162"/>
      <c r="VOJ50" s="162"/>
      <c r="VOK50" s="162"/>
      <c r="VOL50" s="162"/>
      <c r="VOM50" s="162"/>
      <c r="VON50" s="162"/>
      <c r="VOO50" s="162"/>
      <c r="VOP50" s="162"/>
      <c r="VOQ50" s="162"/>
      <c r="VOR50" s="162"/>
      <c r="VOS50" s="162"/>
      <c r="VOT50" s="162"/>
      <c r="VOU50" s="162"/>
      <c r="VOV50" s="162"/>
      <c r="VOW50" s="162"/>
      <c r="VOX50" s="162"/>
      <c r="VOY50" s="162"/>
      <c r="VOZ50" s="162"/>
      <c r="VPA50" s="162"/>
      <c r="VPB50" s="162"/>
      <c r="VPC50" s="162"/>
      <c r="VPD50" s="162"/>
      <c r="VPE50" s="162"/>
      <c r="VPF50" s="162"/>
      <c r="VPG50" s="162"/>
      <c r="VPH50" s="162"/>
      <c r="VPI50" s="162"/>
      <c r="VPJ50" s="162"/>
      <c r="VPK50" s="162"/>
      <c r="VPL50" s="162"/>
      <c r="VPM50" s="162"/>
      <c r="VPN50" s="162"/>
      <c r="VPO50" s="162"/>
      <c r="VPP50" s="162"/>
      <c r="VPQ50" s="162"/>
      <c r="VPR50" s="162"/>
      <c r="VPS50" s="162"/>
      <c r="VPT50" s="162"/>
      <c r="VPU50" s="162"/>
      <c r="VPV50" s="162"/>
      <c r="VPW50" s="162"/>
      <c r="VPX50" s="162"/>
      <c r="VPY50" s="162"/>
      <c r="VPZ50" s="162"/>
      <c r="VQA50" s="162"/>
      <c r="VQB50" s="162"/>
      <c r="VQC50" s="162"/>
      <c r="VQD50" s="162"/>
      <c r="VQE50" s="162"/>
      <c r="VQF50" s="162"/>
      <c r="VQG50" s="162"/>
      <c r="VQH50" s="162"/>
      <c r="VQI50" s="162"/>
      <c r="VQJ50" s="162"/>
      <c r="VQK50" s="162"/>
      <c r="VQL50" s="162"/>
      <c r="VQM50" s="162"/>
      <c r="VQN50" s="162"/>
      <c r="VQO50" s="162"/>
      <c r="VQP50" s="162"/>
      <c r="VQQ50" s="162"/>
      <c r="VQR50" s="162"/>
      <c r="VQS50" s="162"/>
      <c r="VQT50" s="162"/>
      <c r="VQU50" s="162"/>
      <c r="VQV50" s="162"/>
      <c r="VQW50" s="162"/>
      <c r="VQX50" s="162"/>
      <c r="VQY50" s="162"/>
      <c r="VQZ50" s="162"/>
      <c r="VRA50" s="162"/>
      <c r="VRB50" s="162"/>
      <c r="VRC50" s="162"/>
      <c r="VRD50" s="162"/>
      <c r="VRE50" s="162"/>
      <c r="VRF50" s="162"/>
      <c r="VRG50" s="162"/>
      <c r="VRH50" s="162"/>
      <c r="VRI50" s="162"/>
      <c r="VRJ50" s="162"/>
      <c r="VRK50" s="162"/>
      <c r="VRL50" s="162"/>
      <c r="VRM50" s="162"/>
      <c r="VRN50" s="162"/>
      <c r="VRO50" s="162"/>
      <c r="VRP50" s="162"/>
      <c r="VRQ50" s="162"/>
      <c r="VRR50" s="162"/>
      <c r="VRS50" s="162"/>
      <c r="VRT50" s="162"/>
      <c r="VRU50" s="162"/>
      <c r="VRV50" s="162"/>
      <c r="VRW50" s="162"/>
      <c r="VRX50" s="162"/>
      <c r="VRY50" s="162"/>
      <c r="VRZ50" s="162"/>
      <c r="VSA50" s="162"/>
      <c r="VSB50" s="162"/>
      <c r="VSC50" s="162"/>
      <c r="VSD50" s="162"/>
      <c r="VSE50" s="162"/>
      <c r="VSF50" s="162"/>
      <c r="VSG50" s="162"/>
      <c r="VSH50" s="162"/>
      <c r="VSI50" s="162"/>
      <c r="VSJ50" s="162"/>
      <c r="VSK50" s="162"/>
      <c r="VSL50" s="162"/>
      <c r="VSM50" s="162"/>
      <c r="VSN50" s="162"/>
      <c r="VSO50" s="162"/>
      <c r="VSP50" s="162"/>
      <c r="VSQ50" s="162"/>
      <c r="VSR50" s="162"/>
      <c r="VSS50" s="162"/>
      <c r="VST50" s="162"/>
      <c r="VSU50" s="162"/>
      <c r="VSV50" s="162"/>
      <c r="VSW50" s="162"/>
      <c r="VSX50" s="162"/>
      <c r="VSY50" s="162"/>
      <c r="VSZ50" s="162"/>
      <c r="VTA50" s="162"/>
      <c r="VTB50" s="162"/>
      <c r="VTC50" s="162"/>
      <c r="VTD50" s="162"/>
      <c r="VTE50" s="162"/>
      <c r="VTF50" s="162"/>
      <c r="VTG50" s="162"/>
      <c r="VTH50" s="162"/>
      <c r="VTI50" s="162"/>
      <c r="VTJ50" s="162"/>
      <c r="VTK50" s="162"/>
      <c r="VTL50" s="162"/>
      <c r="VTM50" s="162"/>
      <c r="VTN50" s="162"/>
      <c r="VTO50" s="162"/>
      <c r="VTP50" s="162"/>
      <c r="VTQ50" s="162"/>
      <c r="VTR50" s="162"/>
      <c r="VTS50" s="162"/>
      <c r="VTT50" s="162"/>
      <c r="VTU50" s="162"/>
      <c r="VTV50" s="162"/>
      <c r="VTW50" s="162"/>
      <c r="VTX50" s="162"/>
      <c r="VTY50" s="162"/>
      <c r="VTZ50" s="162"/>
      <c r="VUA50" s="162"/>
      <c r="VUB50" s="162"/>
      <c r="VUC50" s="162"/>
      <c r="VUD50" s="162"/>
      <c r="VUE50" s="162"/>
      <c r="VUF50" s="162"/>
      <c r="VUG50" s="162"/>
      <c r="VUH50" s="162"/>
      <c r="VUI50" s="162"/>
      <c r="VUJ50" s="162"/>
      <c r="VUK50" s="162"/>
      <c r="VUL50" s="162"/>
      <c r="VUM50" s="162"/>
      <c r="VUN50" s="162"/>
      <c r="VUO50" s="162"/>
      <c r="VUP50" s="162"/>
      <c r="VUQ50" s="162"/>
      <c r="VUR50" s="162"/>
      <c r="VUS50" s="162"/>
      <c r="VUT50" s="162"/>
      <c r="VUU50" s="162"/>
      <c r="VUV50" s="162"/>
      <c r="VUW50" s="162"/>
      <c r="VUX50" s="162"/>
      <c r="VUY50" s="162"/>
      <c r="VUZ50" s="162"/>
      <c r="VVA50" s="162"/>
      <c r="VVB50" s="162"/>
      <c r="VVC50" s="162"/>
      <c r="VVD50" s="162"/>
      <c r="VVE50" s="162"/>
      <c r="VVF50" s="162"/>
      <c r="VVG50" s="162"/>
      <c r="VVH50" s="162"/>
      <c r="VVI50" s="162"/>
      <c r="VVJ50" s="162"/>
      <c r="VVK50" s="162"/>
      <c r="VVL50" s="162"/>
      <c r="VVM50" s="162"/>
      <c r="VVN50" s="162"/>
      <c r="VVO50" s="162"/>
      <c r="VVP50" s="162"/>
      <c r="VVQ50" s="162"/>
      <c r="VVR50" s="162"/>
      <c r="VVS50" s="162"/>
      <c r="VVT50" s="162"/>
      <c r="VVU50" s="162"/>
      <c r="VVV50" s="162"/>
      <c r="VVW50" s="162"/>
      <c r="VVX50" s="162"/>
      <c r="VVY50" s="162"/>
      <c r="VVZ50" s="162"/>
      <c r="VWA50" s="162"/>
      <c r="VWB50" s="162"/>
      <c r="VWC50" s="162"/>
      <c r="VWD50" s="162"/>
      <c r="VWE50" s="162"/>
      <c r="VWF50" s="162"/>
      <c r="VWG50" s="162"/>
      <c r="VWH50" s="162"/>
      <c r="VWI50" s="162"/>
      <c r="VWJ50" s="162"/>
      <c r="VWK50" s="162"/>
      <c r="VWL50" s="162"/>
      <c r="VWM50" s="162"/>
      <c r="VWN50" s="162"/>
      <c r="VWO50" s="162"/>
      <c r="VWP50" s="162"/>
      <c r="VWQ50" s="162"/>
      <c r="VWR50" s="162"/>
      <c r="VWS50" s="162"/>
      <c r="VWT50" s="162"/>
      <c r="VWU50" s="162"/>
      <c r="VWV50" s="162"/>
      <c r="VWW50" s="162"/>
      <c r="VWX50" s="162"/>
      <c r="VWY50" s="162"/>
      <c r="VWZ50" s="162"/>
      <c r="VXA50" s="162"/>
      <c r="VXB50" s="162"/>
      <c r="VXC50" s="162"/>
      <c r="VXD50" s="162"/>
      <c r="VXE50" s="162"/>
      <c r="VXF50" s="162"/>
      <c r="VXG50" s="162"/>
      <c r="VXH50" s="162"/>
      <c r="VXI50" s="162"/>
      <c r="VXJ50" s="162"/>
      <c r="VXK50" s="162"/>
      <c r="VXL50" s="162"/>
      <c r="VXM50" s="162"/>
      <c r="VXN50" s="162"/>
      <c r="VXO50" s="162"/>
      <c r="VXP50" s="162"/>
      <c r="VXQ50" s="162"/>
      <c r="VXR50" s="162"/>
      <c r="VXS50" s="162"/>
      <c r="VXT50" s="162"/>
      <c r="VXU50" s="162"/>
      <c r="VXV50" s="162"/>
      <c r="VXW50" s="162"/>
      <c r="VXX50" s="162"/>
      <c r="VXY50" s="162"/>
      <c r="VXZ50" s="162"/>
      <c r="VYA50" s="162"/>
      <c r="VYB50" s="162"/>
      <c r="VYC50" s="162"/>
      <c r="VYD50" s="162"/>
      <c r="VYE50" s="162"/>
      <c r="VYF50" s="162"/>
      <c r="VYG50" s="162"/>
      <c r="VYH50" s="162"/>
      <c r="VYI50" s="162"/>
      <c r="VYJ50" s="162"/>
      <c r="VYK50" s="162"/>
      <c r="VYL50" s="162"/>
      <c r="VYM50" s="162"/>
      <c r="VYN50" s="162"/>
      <c r="VYO50" s="162"/>
      <c r="VYP50" s="162"/>
      <c r="VYQ50" s="162"/>
      <c r="VYR50" s="162"/>
      <c r="VYS50" s="162"/>
      <c r="VYT50" s="162"/>
      <c r="VYU50" s="162"/>
      <c r="VYV50" s="162"/>
      <c r="VYW50" s="162"/>
      <c r="VYX50" s="162"/>
      <c r="VYY50" s="162"/>
      <c r="VYZ50" s="162"/>
      <c r="VZA50" s="162"/>
      <c r="VZB50" s="162"/>
      <c r="VZC50" s="162"/>
      <c r="VZD50" s="162"/>
      <c r="VZE50" s="162"/>
      <c r="VZF50" s="162"/>
      <c r="VZG50" s="162"/>
      <c r="VZH50" s="162"/>
      <c r="VZI50" s="162"/>
      <c r="VZJ50" s="162"/>
      <c r="VZK50" s="162"/>
      <c r="VZL50" s="162"/>
      <c r="VZM50" s="162"/>
      <c r="VZN50" s="162"/>
      <c r="VZO50" s="162"/>
      <c r="VZP50" s="162"/>
      <c r="VZQ50" s="162"/>
      <c r="VZR50" s="162"/>
      <c r="VZS50" s="162"/>
      <c r="VZT50" s="162"/>
      <c r="VZU50" s="162"/>
      <c r="VZV50" s="162"/>
      <c r="VZW50" s="162"/>
      <c r="VZX50" s="162"/>
      <c r="VZY50" s="162"/>
      <c r="VZZ50" s="162"/>
      <c r="WAA50" s="162"/>
      <c r="WAB50" s="162"/>
      <c r="WAC50" s="162"/>
      <c r="WAD50" s="162"/>
      <c r="WAE50" s="162"/>
      <c r="WAF50" s="162"/>
      <c r="WAG50" s="162"/>
      <c r="WAH50" s="162"/>
      <c r="WAI50" s="162"/>
      <c r="WAJ50" s="162"/>
      <c r="WAK50" s="162"/>
      <c r="WAL50" s="162"/>
      <c r="WAM50" s="162"/>
      <c r="WAN50" s="162"/>
      <c r="WAO50" s="162"/>
      <c r="WAP50" s="162"/>
      <c r="WAQ50" s="162"/>
      <c r="WAR50" s="162"/>
      <c r="WAS50" s="162"/>
      <c r="WAT50" s="162"/>
      <c r="WAU50" s="162"/>
      <c r="WAV50" s="162"/>
      <c r="WAW50" s="162"/>
      <c r="WAX50" s="162"/>
      <c r="WAY50" s="162"/>
      <c r="WAZ50" s="162"/>
      <c r="WBA50" s="162"/>
      <c r="WBB50" s="162"/>
      <c r="WBC50" s="162"/>
      <c r="WBD50" s="162"/>
      <c r="WBE50" s="162"/>
      <c r="WBF50" s="162"/>
      <c r="WBG50" s="162"/>
      <c r="WBH50" s="162"/>
      <c r="WBI50" s="162"/>
      <c r="WBJ50" s="162"/>
      <c r="WBK50" s="162"/>
      <c r="WBL50" s="162"/>
      <c r="WBM50" s="162"/>
      <c r="WBN50" s="162"/>
      <c r="WBO50" s="162"/>
      <c r="WBP50" s="162"/>
      <c r="WBQ50" s="162"/>
      <c r="WBR50" s="162"/>
      <c r="WBS50" s="162"/>
      <c r="WBT50" s="162"/>
      <c r="WBU50" s="162"/>
      <c r="WBV50" s="162"/>
      <c r="WBW50" s="162"/>
      <c r="WBX50" s="162"/>
      <c r="WBY50" s="162"/>
      <c r="WBZ50" s="162"/>
      <c r="WCA50" s="162"/>
      <c r="WCB50" s="162"/>
      <c r="WCC50" s="162"/>
      <c r="WCD50" s="162"/>
      <c r="WCE50" s="162"/>
      <c r="WCF50" s="162"/>
      <c r="WCG50" s="162"/>
      <c r="WCH50" s="162"/>
      <c r="WCI50" s="162"/>
      <c r="WCJ50" s="162"/>
      <c r="WCK50" s="162"/>
      <c r="WCL50" s="162"/>
      <c r="WCM50" s="162"/>
      <c r="WCN50" s="162"/>
      <c r="WCO50" s="162"/>
      <c r="WCP50" s="162"/>
      <c r="WCQ50" s="162"/>
      <c r="WCR50" s="162"/>
      <c r="WCS50" s="162"/>
      <c r="WCT50" s="162"/>
      <c r="WCU50" s="162"/>
      <c r="WCV50" s="162"/>
      <c r="WCW50" s="162"/>
      <c r="WCX50" s="162"/>
      <c r="WCY50" s="162"/>
      <c r="WCZ50" s="162"/>
      <c r="WDA50" s="162"/>
      <c r="WDB50" s="162"/>
      <c r="WDC50" s="162"/>
      <c r="WDD50" s="162"/>
      <c r="WDE50" s="162"/>
      <c r="WDF50" s="162"/>
      <c r="WDG50" s="162"/>
      <c r="WDH50" s="162"/>
      <c r="WDI50" s="162"/>
      <c r="WDJ50" s="162"/>
      <c r="WDK50" s="162"/>
      <c r="WDL50" s="162"/>
      <c r="WDM50" s="162"/>
      <c r="WDN50" s="162"/>
      <c r="WDO50" s="162"/>
      <c r="WDP50" s="162"/>
      <c r="WDQ50" s="162"/>
      <c r="WDR50" s="162"/>
      <c r="WDS50" s="162"/>
      <c r="WDT50" s="162"/>
      <c r="WDU50" s="162"/>
      <c r="WDV50" s="162"/>
      <c r="WDW50" s="162"/>
      <c r="WDX50" s="162"/>
      <c r="WDY50" s="162"/>
      <c r="WDZ50" s="162"/>
      <c r="WEA50" s="162"/>
      <c r="WEB50" s="162"/>
      <c r="WEC50" s="162"/>
      <c r="WED50" s="162"/>
      <c r="WEE50" s="162"/>
      <c r="WEF50" s="162"/>
      <c r="WEG50" s="162"/>
      <c r="WEH50" s="162"/>
      <c r="WEI50" s="162"/>
      <c r="WEJ50" s="162"/>
      <c r="WEK50" s="162"/>
      <c r="WEL50" s="162"/>
      <c r="WEM50" s="162"/>
      <c r="WEN50" s="162"/>
      <c r="WEO50" s="162"/>
      <c r="WEP50" s="162"/>
      <c r="WEQ50" s="162"/>
      <c r="WER50" s="162"/>
      <c r="WES50" s="162"/>
      <c r="WET50" s="162"/>
      <c r="WEU50" s="162"/>
      <c r="WEV50" s="162"/>
      <c r="WEW50" s="162"/>
      <c r="WEX50" s="162"/>
      <c r="WEY50" s="162"/>
      <c r="WEZ50" s="162"/>
      <c r="WFA50" s="162"/>
      <c r="WFB50" s="162"/>
      <c r="WFC50" s="162"/>
      <c r="WFD50" s="162"/>
      <c r="WFE50" s="162"/>
      <c r="WFF50" s="162"/>
      <c r="WFG50" s="162"/>
      <c r="WFH50" s="162"/>
      <c r="WFI50" s="162"/>
      <c r="WFJ50" s="162"/>
      <c r="WFK50" s="162"/>
      <c r="WFL50" s="162"/>
      <c r="WFM50" s="162"/>
      <c r="WFN50" s="162"/>
      <c r="WFO50" s="162"/>
      <c r="WFP50" s="162"/>
      <c r="WFQ50" s="162"/>
      <c r="WFR50" s="162"/>
      <c r="WFS50" s="162"/>
      <c r="WFT50" s="162"/>
      <c r="WFU50" s="162"/>
      <c r="WFV50" s="162"/>
      <c r="WFW50" s="162"/>
      <c r="WFX50" s="162"/>
      <c r="WFY50" s="162"/>
      <c r="WFZ50" s="162"/>
      <c r="WGA50" s="162"/>
      <c r="WGB50" s="162"/>
      <c r="WGC50" s="162"/>
      <c r="WGD50" s="162"/>
      <c r="WGE50" s="162"/>
      <c r="WGF50" s="162"/>
      <c r="WGG50" s="162"/>
      <c r="WGH50" s="162"/>
      <c r="WGI50" s="162"/>
      <c r="WGJ50" s="162"/>
      <c r="WGK50" s="162"/>
      <c r="WGL50" s="162"/>
      <c r="WGM50" s="162"/>
      <c r="WGN50" s="162"/>
      <c r="WGO50" s="162"/>
      <c r="WGP50" s="162"/>
      <c r="WGQ50" s="162"/>
      <c r="WGR50" s="162"/>
      <c r="WGS50" s="162"/>
      <c r="WGT50" s="162"/>
      <c r="WGU50" s="162"/>
      <c r="WGV50" s="162"/>
      <c r="WGW50" s="162"/>
      <c r="WGX50" s="162"/>
      <c r="WGY50" s="162"/>
      <c r="WGZ50" s="162"/>
      <c r="WHA50" s="162"/>
      <c r="WHB50" s="162"/>
      <c r="WHC50" s="162"/>
      <c r="WHD50" s="162"/>
      <c r="WHE50" s="162"/>
      <c r="WHF50" s="162"/>
      <c r="WHG50" s="162"/>
      <c r="WHH50" s="162"/>
      <c r="WHI50" s="162"/>
      <c r="WHJ50" s="162"/>
      <c r="WHK50" s="162"/>
      <c r="WHL50" s="162"/>
      <c r="WHM50" s="162"/>
      <c r="WHN50" s="162"/>
      <c r="WHO50" s="162"/>
      <c r="WHP50" s="162"/>
      <c r="WHQ50" s="162"/>
      <c r="WHR50" s="162"/>
      <c r="WHS50" s="162"/>
      <c r="WHT50" s="162"/>
      <c r="WHU50" s="162"/>
      <c r="WHV50" s="162"/>
      <c r="WHW50" s="162"/>
      <c r="WHX50" s="162"/>
      <c r="WHY50" s="162"/>
      <c r="WHZ50" s="162"/>
      <c r="WIA50" s="162"/>
      <c r="WIB50" s="162"/>
      <c r="WIC50" s="162"/>
      <c r="WID50" s="162"/>
      <c r="WIE50" s="162"/>
      <c r="WIF50" s="162"/>
      <c r="WIG50" s="162"/>
      <c r="WIH50" s="162"/>
      <c r="WII50" s="162"/>
      <c r="WIJ50" s="162"/>
      <c r="WIK50" s="162"/>
      <c r="WIL50" s="162"/>
      <c r="WIM50" s="162"/>
      <c r="WIN50" s="162"/>
      <c r="WIO50" s="162"/>
      <c r="WIP50" s="162"/>
      <c r="WIQ50" s="162"/>
      <c r="WIR50" s="162"/>
      <c r="WIS50" s="162"/>
      <c r="WIT50" s="162"/>
      <c r="WIU50" s="162"/>
      <c r="WIV50" s="162"/>
      <c r="WIW50" s="162"/>
      <c r="WIX50" s="162"/>
      <c r="WIY50" s="162"/>
      <c r="WIZ50" s="162"/>
      <c r="WJA50" s="162"/>
      <c r="WJB50" s="162"/>
      <c r="WJC50" s="162"/>
      <c r="WJD50" s="162"/>
      <c r="WJE50" s="162"/>
      <c r="WJF50" s="162"/>
      <c r="WJG50" s="162"/>
      <c r="WJH50" s="162"/>
      <c r="WJI50" s="162"/>
      <c r="WJJ50" s="162"/>
      <c r="WJK50" s="162"/>
      <c r="WJL50" s="162"/>
      <c r="WJM50" s="162"/>
      <c r="WJN50" s="162"/>
      <c r="WJO50" s="162"/>
      <c r="WJP50" s="162"/>
      <c r="WJQ50" s="162"/>
      <c r="WJR50" s="162"/>
      <c r="WJS50" s="162"/>
      <c r="WJT50" s="162"/>
      <c r="WJU50" s="162"/>
      <c r="WJV50" s="162"/>
      <c r="WJW50" s="162"/>
      <c r="WJX50" s="162"/>
      <c r="WJY50" s="162"/>
      <c r="WJZ50" s="162"/>
      <c r="WKA50" s="162"/>
      <c r="WKB50" s="162"/>
      <c r="WKC50" s="162"/>
      <c r="WKD50" s="162"/>
      <c r="WKE50" s="162"/>
      <c r="WKF50" s="162"/>
      <c r="WKG50" s="162"/>
      <c r="WKH50" s="162"/>
      <c r="WKI50" s="162"/>
      <c r="WKJ50" s="162"/>
      <c r="WKK50" s="162"/>
      <c r="WKL50" s="162"/>
      <c r="WKM50" s="162"/>
      <c r="WKN50" s="162"/>
      <c r="WKO50" s="162"/>
      <c r="WKP50" s="162"/>
      <c r="WKQ50" s="162"/>
      <c r="WKR50" s="162"/>
      <c r="WKS50" s="162"/>
      <c r="WKT50" s="162"/>
      <c r="WKU50" s="162"/>
      <c r="WKV50" s="162"/>
      <c r="WKW50" s="162"/>
      <c r="WKX50" s="162"/>
      <c r="WKY50" s="162"/>
      <c r="WKZ50" s="162"/>
      <c r="WLA50" s="162"/>
      <c r="WLB50" s="162"/>
      <c r="WLC50" s="162"/>
      <c r="WLD50" s="162"/>
      <c r="WLE50" s="162"/>
      <c r="WLF50" s="162"/>
      <c r="WLG50" s="162"/>
      <c r="WLH50" s="162"/>
      <c r="WLI50" s="162"/>
      <c r="WLJ50" s="162"/>
      <c r="WLK50" s="162"/>
      <c r="WLL50" s="162"/>
      <c r="WLM50" s="162"/>
      <c r="WLN50" s="162"/>
      <c r="WLO50" s="162"/>
      <c r="WLP50" s="162"/>
      <c r="WLQ50" s="162"/>
      <c r="WLR50" s="162"/>
      <c r="WLS50" s="162"/>
      <c r="WLT50" s="162"/>
      <c r="WLU50" s="162"/>
      <c r="WLV50" s="162"/>
      <c r="WLW50" s="162"/>
      <c r="WLX50" s="162"/>
      <c r="WLY50" s="162"/>
      <c r="WLZ50" s="162"/>
      <c r="WMA50" s="162"/>
      <c r="WMB50" s="162"/>
      <c r="WMC50" s="162"/>
      <c r="WMD50" s="162"/>
      <c r="WME50" s="162"/>
      <c r="WMF50" s="162"/>
      <c r="WMG50" s="162"/>
      <c r="WMH50" s="162"/>
      <c r="WMI50" s="162"/>
      <c r="WMJ50" s="162"/>
      <c r="WMK50" s="162"/>
      <c r="WML50" s="162"/>
      <c r="WMM50" s="162"/>
      <c r="WMN50" s="162"/>
      <c r="WMO50" s="162"/>
      <c r="WMP50" s="162"/>
      <c r="WMQ50" s="162"/>
      <c r="WMR50" s="162"/>
      <c r="WMS50" s="162"/>
      <c r="WMT50" s="162"/>
      <c r="WMU50" s="162"/>
      <c r="WMV50" s="162"/>
      <c r="WMW50" s="162"/>
      <c r="WMX50" s="162"/>
      <c r="WMY50" s="162"/>
      <c r="WMZ50" s="162"/>
      <c r="WNA50" s="162"/>
      <c r="WNB50" s="162"/>
      <c r="WNC50" s="162"/>
      <c r="WND50" s="162"/>
      <c r="WNE50" s="162"/>
      <c r="WNF50" s="162"/>
      <c r="WNG50" s="162"/>
      <c r="WNH50" s="162"/>
      <c r="WNI50" s="162"/>
      <c r="WNJ50" s="162"/>
      <c r="WNK50" s="162"/>
      <c r="WNL50" s="162"/>
      <c r="WNM50" s="162"/>
      <c r="WNN50" s="162"/>
      <c r="WNO50" s="162"/>
      <c r="WNP50" s="162"/>
      <c r="WNQ50" s="162"/>
      <c r="WNR50" s="162"/>
      <c r="WNS50" s="162"/>
      <c r="WNT50" s="162"/>
      <c r="WNU50" s="162"/>
      <c r="WNV50" s="162"/>
      <c r="WNW50" s="162"/>
      <c r="WNX50" s="162"/>
      <c r="WNY50" s="162"/>
      <c r="WNZ50" s="162"/>
      <c r="WOA50" s="162"/>
      <c r="WOB50" s="162"/>
      <c r="WOC50" s="162"/>
      <c r="WOD50" s="162"/>
      <c r="WOE50" s="162"/>
      <c r="WOF50" s="162"/>
      <c r="WOG50" s="162"/>
      <c r="WOH50" s="162"/>
      <c r="WOI50" s="162"/>
      <c r="WOJ50" s="162"/>
      <c r="WOK50" s="162"/>
      <c r="WOL50" s="162"/>
      <c r="WOM50" s="162"/>
      <c r="WON50" s="162"/>
      <c r="WOO50" s="162"/>
      <c r="WOP50" s="162"/>
      <c r="WOQ50" s="162"/>
      <c r="WOR50" s="162"/>
      <c r="WOS50" s="162"/>
      <c r="WOT50" s="162"/>
      <c r="WOU50" s="162"/>
      <c r="WOV50" s="162"/>
      <c r="WOW50" s="162"/>
      <c r="WOX50" s="162"/>
      <c r="WOY50" s="162"/>
      <c r="WOZ50" s="162"/>
      <c r="WPA50" s="162"/>
      <c r="WPB50" s="162"/>
      <c r="WPC50" s="162"/>
      <c r="WPD50" s="162"/>
      <c r="WPE50" s="162"/>
      <c r="WPF50" s="162"/>
      <c r="WPG50" s="162"/>
      <c r="WPH50" s="162"/>
      <c r="WPI50" s="162"/>
      <c r="WPJ50" s="162"/>
      <c r="WPK50" s="162"/>
      <c r="WPL50" s="162"/>
      <c r="WPM50" s="162"/>
      <c r="WPN50" s="162"/>
      <c r="WPO50" s="162"/>
      <c r="WPP50" s="162"/>
      <c r="WPQ50" s="162"/>
      <c r="WPR50" s="162"/>
      <c r="WPS50" s="162"/>
      <c r="WPT50" s="162"/>
      <c r="WPU50" s="162"/>
      <c r="WPV50" s="162"/>
      <c r="WPW50" s="162"/>
      <c r="WPX50" s="162"/>
      <c r="WPY50" s="162"/>
      <c r="WPZ50" s="162"/>
      <c r="WQA50" s="162"/>
      <c r="WQB50" s="162"/>
      <c r="WQC50" s="162"/>
      <c r="WQD50" s="162"/>
      <c r="WQE50" s="162"/>
      <c r="WQF50" s="162"/>
      <c r="WQG50" s="162"/>
      <c r="WQH50" s="162"/>
      <c r="WQI50" s="162"/>
      <c r="WQJ50" s="162"/>
      <c r="WQK50" s="162"/>
      <c r="WQL50" s="162"/>
      <c r="WQM50" s="162"/>
      <c r="WQN50" s="162"/>
      <c r="WQO50" s="162"/>
      <c r="WQP50" s="162"/>
      <c r="WQQ50" s="162"/>
      <c r="WQR50" s="162"/>
      <c r="WQS50" s="162"/>
      <c r="WQT50" s="162"/>
      <c r="WQU50" s="162"/>
      <c r="WQV50" s="162"/>
      <c r="WQW50" s="162"/>
      <c r="WQX50" s="162"/>
      <c r="WQY50" s="162"/>
      <c r="WQZ50" s="162"/>
      <c r="WRA50" s="162"/>
      <c r="WRB50" s="162"/>
      <c r="WRC50" s="162"/>
      <c r="WRD50" s="162"/>
      <c r="WRE50" s="162"/>
      <c r="WRF50" s="162"/>
      <c r="WRG50" s="162"/>
      <c r="WRH50" s="162"/>
      <c r="WRI50" s="162"/>
      <c r="WRJ50" s="162"/>
      <c r="WRK50" s="162"/>
      <c r="WRL50" s="162"/>
      <c r="WRM50" s="162"/>
      <c r="WRN50" s="162"/>
      <c r="WRO50" s="162"/>
      <c r="WRP50" s="162"/>
      <c r="WRQ50" s="162"/>
      <c r="WRR50" s="162"/>
      <c r="WRS50" s="162"/>
      <c r="WRT50" s="162"/>
      <c r="WRU50" s="162"/>
      <c r="WRV50" s="162"/>
      <c r="WRW50" s="162"/>
      <c r="WRX50" s="162"/>
      <c r="WRY50" s="162"/>
      <c r="WRZ50" s="162"/>
      <c r="WSA50" s="162"/>
      <c r="WSB50" s="162"/>
      <c r="WSC50" s="162"/>
      <c r="WSD50" s="162"/>
      <c r="WSE50" s="162"/>
      <c r="WSF50" s="162"/>
      <c r="WSG50" s="162"/>
      <c r="WSH50" s="162"/>
      <c r="WSI50" s="162"/>
      <c r="WSJ50" s="162"/>
      <c r="WSK50" s="162"/>
      <c r="WSL50" s="162"/>
      <c r="WSM50" s="162"/>
      <c r="WSN50" s="162"/>
      <c r="WSO50" s="162"/>
      <c r="WSP50" s="162"/>
      <c r="WSQ50" s="162"/>
      <c r="WSR50" s="162"/>
      <c r="WSS50" s="162"/>
      <c r="WST50" s="162"/>
      <c r="WSU50" s="162"/>
      <c r="WSV50" s="162"/>
      <c r="WSW50" s="162"/>
      <c r="WSX50" s="162"/>
      <c r="WSY50" s="162"/>
      <c r="WSZ50" s="162"/>
      <c r="WTA50" s="162"/>
      <c r="WTB50" s="162"/>
      <c r="WTC50" s="162"/>
      <c r="WTD50" s="162"/>
      <c r="WTE50" s="162"/>
      <c r="WTF50" s="162"/>
      <c r="WTG50" s="162"/>
      <c r="WTH50" s="162"/>
      <c r="WTI50" s="162"/>
      <c r="WTJ50" s="162"/>
      <c r="WTK50" s="162"/>
      <c r="WTL50" s="162"/>
      <c r="WTM50" s="162"/>
      <c r="WTN50" s="162"/>
      <c r="WTO50" s="162"/>
      <c r="WTP50" s="162"/>
      <c r="WTQ50" s="162"/>
      <c r="WTR50" s="162"/>
      <c r="WTS50" s="162"/>
      <c r="WTT50" s="162"/>
      <c r="WTU50" s="162"/>
      <c r="WTV50" s="162"/>
      <c r="WTW50" s="162"/>
      <c r="WTX50" s="162"/>
      <c r="WTY50" s="162"/>
      <c r="WTZ50" s="162"/>
      <c r="WUA50" s="162"/>
      <c r="WUB50" s="162"/>
      <c r="WUC50" s="162"/>
      <c r="WUD50" s="162"/>
      <c r="WUE50" s="162"/>
      <c r="WUF50" s="162"/>
      <c r="WUG50" s="162"/>
      <c r="WUH50" s="162"/>
      <c r="WUI50" s="162"/>
      <c r="WUJ50" s="162"/>
      <c r="WUK50" s="162"/>
      <c r="WUL50" s="162"/>
      <c r="WUM50" s="162"/>
      <c r="WUN50" s="162"/>
      <c r="WUO50" s="162"/>
      <c r="WUP50" s="162"/>
      <c r="WUQ50" s="162"/>
      <c r="WUR50" s="162"/>
      <c r="WUS50" s="162"/>
      <c r="WUT50" s="162"/>
      <c r="WUU50" s="162"/>
      <c r="WUV50" s="162"/>
      <c r="WUW50" s="162"/>
      <c r="WUX50" s="162"/>
      <c r="WUY50" s="162"/>
      <c r="WUZ50" s="162"/>
      <c r="WVA50" s="162"/>
      <c r="WVB50" s="162"/>
      <c r="WVC50" s="162"/>
      <c r="WVD50" s="162"/>
      <c r="WVE50" s="162"/>
      <c r="WVF50" s="162"/>
      <c r="WVG50" s="162"/>
      <c r="WVH50" s="162"/>
      <c r="WVI50" s="162"/>
      <c r="WVJ50" s="162"/>
      <c r="WVK50" s="162"/>
      <c r="WVL50" s="162"/>
      <c r="WVM50" s="162"/>
      <c r="WVN50" s="162"/>
      <c r="WVO50" s="162"/>
      <c r="WVP50" s="162"/>
      <c r="WVQ50" s="162"/>
      <c r="WVR50" s="162"/>
      <c r="WVS50" s="162"/>
      <c r="WVT50" s="162"/>
      <c r="WVU50" s="162"/>
      <c r="WVV50" s="162"/>
      <c r="WVW50" s="162"/>
      <c r="WVX50" s="162"/>
      <c r="WVY50" s="162"/>
      <c r="WVZ50" s="162"/>
      <c r="WWA50" s="162"/>
      <c r="WWB50" s="162"/>
      <c r="WWC50" s="162"/>
      <c r="WWD50" s="162"/>
      <c r="WWE50" s="162"/>
      <c r="WWF50" s="162"/>
      <c r="WWG50" s="162"/>
      <c r="WWH50" s="162"/>
      <c r="WWI50" s="162"/>
      <c r="WWJ50" s="162"/>
      <c r="WWK50" s="162"/>
      <c r="WWL50" s="162"/>
      <c r="WWM50" s="162"/>
      <c r="WWN50" s="162"/>
      <c r="WWO50" s="162"/>
      <c r="WWP50" s="162"/>
      <c r="WWQ50" s="162"/>
      <c r="WWR50" s="162"/>
      <c r="WWS50" s="162"/>
      <c r="WWT50" s="162"/>
      <c r="WWU50" s="162"/>
      <c r="WWV50" s="162"/>
      <c r="WWW50" s="162"/>
      <c r="WWX50" s="162"/>
      <c r="WWY50" s="162"/>
      <c r="WWZ50" s="162"/>
      <c r="WXA50" s="162"/>
      <c r="WXB50" s="162"/>
      <c r="WXC50" s="162"/>
      <c r="WXD50" s="162"/>
      <c r="WXE50" s="162"/>
      <c r="WXF50" s="162"/>
      <c r="WXG50" s="162"/>
      <c r="WXH50" s="162"/>
      <c r="WXI50" s="162"/>
      <c r="WXJ50" s="162"/>
      <c r="WXK50" s="162"/>
      <c r="WXL50" s="162"/>
      <c r="WXM50" s="162"/>
      <c r="WXN50" s="162"/>
      <c r="WXO50" s="162"/>
      <c r="WXP50" s="162"/>
      <c r="WXQ50" s="162"/>
      <c r="WXR50" s="162"/>
      <c r="WXS50" s="162"/>
      <c r="WXT50" s="162"/>
      <c r="WXU50" s="162"/>
      <c r="WXV50" s="162"/>
      <c r="WXW50" s="162"/>
      <c r="WXX50" s="162"/>
      <c r="WXY50" s="162"/>
      <c r="WXZ50" s="162"/>
      <c r="WYA50" s="162"/>
      <c r="WYB50" s="162"/>
      <c r="WYC50" s="162"/>
      <c r="WYD50" s="162"/>
      <c r="WYE50" s="162"/>
      <c r="WYF50" s="162"/>
      <c r="WYG50" s="162"/>
      <c r="WYH50" s="162"/>
      <c r="WYI50" s="162"/>
      <c r="WYJ50" s="162"/>
      <c r="WYK50" s="162"/>
      <c r="WYL50" s="162"/>
      <c r="WYM50" s="162"/>
      <c r="WYN50" s="162"/>
      <c r="WYO50" s="162"/>
      <c r="WYP50" s="162"/>
      <c r="WYQ50" s="162"/>
      <c r="WYR50" s="162"/>
      <c r="WYS50" s="162"/>
      <c r="WYT50" s="162"/>
      <c r="WYU50" s="162"/>
      <c r="WYV50" s="162"/>
      <c r="WYW50" s="162"/>
      <c r="WYX50" s="162"/>
      <c r="WYY50" s="162"/>
      <c r="WYZ50" s="162"/>
      <c r="WZA50" s="162"/>
      <c r="WZB50" s="162"/>
      <c r="WZC50" s="162"/>
      <c r="WZD50" s="162"/>
      <c r="WZE50" s="162"/>
      <c r="WZF50" s="162"/>
      <c r="WZG50" s="162"/>
      <c r="WZH50" s="162"/>
      <c r="WZI50" s="162"/>
      <c r="WZJ50" s="162"/>
      <c r="WZK50" s="162"/>
      <c r="WZL50" s="162"/>
      <c r="WZM50" s="162"/>
      <c r="WZN50" s="162"/>
      <c r="WZO50" s="162"/>
      <c r="WZP50" s="162"/>
      <c r="WZQ50" s="162"/>
      <c r="WZR50" s="162"/>
      <c r="WZS50" s="162"/>
      <c r="WZT50" s="162"/>
      <c r="WZU50" s="162"/>
      <c r="WZV50" s="162"/>
      <c r="WZW50" s="162"/>
      <c r="WZX50" s="162"/>
      <c r="WZY50" s="162"/>
      <c r="WZZ50" s="162"/>
      <c r="XAA50" s="162"/>
      <c r="XAB50" s="162"/>
      <c r="XAC50" s="162"/>
      <c r="XAD50" s="162"/>
      <c r="XAE50" s="162"/>
      <c r="XAF50" s="162"/>
      <c r="XAG50" s="162"/>
      <c r="XAH50" s="162"/>
      <c r="XAI50" s="162"/>
      <c r="XAJ50" s="162"/>
      <c r="XAK50" s="162"/>
      <c r="XAL50" s="162"/>
      <c r="XAM50" s="162"/>
      <c r="XAN50" s="162"/>
      <c r="XAO50" s="162"/>
      <c r="XAP50" s="162"/>
      <c r="XAQ50" s="162"/>
      <c r="XAR50" s="162"/>
      <c r="XAS50" s="162"/>
      <c r="XAT50" s="162"/>
      <c r="XAU50" s="162"/>
      <c r="XAV50" s="162"/>
      <c r="XAW50" s="162"/>
      <c r="XAX50" s="162"/>
      <c r="XAY50" s="162"/>
      <c r="XAZ50" s="162"/>
      <c r="XBA50" s="162"/>
      <c r="XBB50" s="162"/>
      <c r="XBC50" s="162"/>
      <c r="XBD50" s="162"/>
      <c r="XBE50" s="162"/>
      <c r="XBF50" s="162"/>
      <c r="XBG50" s="162"/>
      <c r="XBH50" s="162"/>
      <c r="XBI50" s="162"/>
      <c r="XBJ50" s="162"/>
      <c r="XBK50" s="162"/>
      <c r="XBL50" s="162"/>
      <c r="XBM50" s="162"/>
      <c r="XBN50" s="162"/>
      <c r="XBO50" s="162"/>
      <c r="XBP50" s="162"/>
      <c r="XBQ50" s="162"/>
      <c r="XBR50" s="162"/>
      <c r="XBS50" s="162"/>
      <c r="XBT50" s="162"/>
      <c r="XBU50" s="162"/>
      <c r="XBV50" s="162"/>
      <c r="XBW50" s="162"/>
      <c r="XBX50" s="162"/>
      <c r="XBY50" s="162"/>
      <c r="XBZ50" s="162"/>
      <c r="XCA50" s="162"/>
      <c r="XCB50" s="162"/>
      <c r="XCC50" s="162"/>
      <c r="XCD50" s="162"/>
      <c r="XCE50" s="162"/>
      <c r="XCF50" s="162"/>
      <c r="XCG50" s="162"/>
      <c r="XCH50" s="162"/>
      <c r="XCI50" s="162"/>
      <c r="XCJ50" s="162"/>
      <c r="XCK50" s="162"/>
      <c r="XCL50" s="162"/>
      <c r="XCM50" s="162"/>
      <c r="XCN50" s="162"/>
      <c r="XCO50" s="162"/>
      <c r="XCP50" s="162"/>
      <c r="XCQ50" s="162"/>
      <c r="XCR50" s="162"/>
      <c r="XCS50" s="162"/>
      <c r="XCT50" s="162"/>
      <c r="XCU50" s="162"/>
      <c r="XCV50" s="162"/>
      <c r="XCW50" s="162"/>
      <c r="XCX50" s="162"/>
      <c r="XCY50" s="162"/>
      <c r="XCZ50" s="162"/>
      <c r="XDA50" s="162"/>
      <c r="XDB50" s="162"/>
      <c r="XDC50" s="162"/>
      <c r="XDD50" s="162"/>
      <c r="XDE50" s="162"/>
      <c r="XDF50" s="162"/>
      <c r="XDG50" s="162"/>
      <c r="XDH50" s="162"/>
      <c r="XDI50" s="162"/>
      <c r="XDJ50" s="162"/>
      <c r="XDK50" s="162"/>
      <c r="XDL50" s="162"/>
      <c r="XDM50" s="162"/>
      <c r="XDN50" s="162"/>
      <c r="XDO50" s="162"/>
      <c r="XDP50" s="162"/>
      <c r="XDQ50" s="162"/>
      <c r="XDR50" s="162"/>
      <c r="XDS50" s="162"/>
      <c r="XDT50" s="162"/>
      <c r="XDU50" s="162"/>
      <c r="XDV50" s="162"/>
      <c r="XDW50" s="162"/>
      <c r="XDX50" s="162"/>
      <c r="XDY50" s="162"/>
      <c r="XDZ50" s="162"/>
      <c r="XEA50" s="162"/>
      <c r="XEB50" s="162"/>
      <c r="XEC50" s="162"/>
      <c r="XED50" s="162"/>
      <c r="XEE50" s="162"/>
      <c r="XEF50" s="162"/>
      <c r="XEG50" s="162"/>
      <c r="XEH50" s="162"/>
      <c r="XEI50" s="162"/>
      <c r="XEJ50" s="162"/>
      <c r="XEK50" s="162"/>
      <c r="XEL50" s="162"/>
      <c r="XEM50" s="162"/>
      <c r="XEN50" s="162"/>
      <c r="XEO50" s="162"/>
      <c r="XEP50" s="162"/>
      <c r="XEQ50" s="162"/>
      <c r="XER50" s="162"/>
      <c r="XES50" s="162"/>
      <c r="XET50" s="162"/>
      <c r="XEU50" s="162"/>
      <c r="XEV50" s="162"/>
      <c r="XEW50" s="162"/>
      <c r="XEX50" s="162"/>
      <c r="XEY50" s="162"/>
      <c r="XEZ50" s="162"/>
      <c r="XFA50" s="162"/>
      <c r="XFB50" s="162"/>
      <c r="XFC50" s="162"/>
    </row>
    <row r="51" spans="1:16383" ht="20.25" customHeight="1">
      <c r="A51" s="316" t="s">
        <v>116</v>
      </c>
      <c r="B51" s="192" t="s">
        <v>86</v>
      </c>
      <c r="C51" s="249">
        <v>0</v>
      </c>
      <c r="D51" s="249" t="s">
        <v>418</v>
      </c>
      <c r="E51" s="249">
        <v>0</v>
      </c>
      <c r="F51" s="249">
        <v>0</v>
      </c>
      <c r="G51" s="54"/>
      <c r="H51" s="165">
        <f>IF(C51="x",DetailedEstWeightedValues!$B153,"0")+IF(D51="x",DetailedEstWeightedValues!$C153,"0")+IF(E51="x",DetailedEstWeightedValues!$D153,"0")+IF(F51="x",DetailedEstWeightedValues!$E153,"0")</f>
        <v>10</v>
      </c>
      <c r="I51" s="165">
        <f>VLOOKUP($A51,DetailedEstWeightedValues!$A$159:$B$161,2,FALSE) * H51</f>
        <v>10</v>
      </c>
      <c r="J51" s="249">
        <v>10</v>
      </c>
      <c r="K51" s="193">
        <f>SUM(I51:J51)</f>
        <v>20</v>
      </c>
    </row>
    <row r="52" spans="1:16383" ht="20.25" customHeight="1">
      <c r="A52" s="316" t="s">
        <v>116</v>
      </c>
      <c r="B52" s="192" t="s">
        <v>87</v>
      </c>
      <c r="C52" s="249">
        <v>0</v>
      </c>
      <c r="D52" s="249">
        <v>0</v>
      </c>
      <c r="E52" s="249">
        <v>0</v>
      </c>
      <c r="F52" s="249">
        <v>0</v>
      </c>
      <c r="H52" s="165">
        <f>IF(C52="x",DetailedEstWeightedValues!$B154,"0")+IF(D52="x",DetailedEstWeightedValues!$C154,"0")+IF(E52="x",DetailedEstWeightedValues!$D154,"0")+IF(F52="x",DetailedEstWeightedValues!$E154,"0")</f>
        <v>0</v>
      </c>
      <c r="I52" s="165">
        <f>VLOOKUP($A52,DetailedEstWeightedValues!$A$159:$B$161,2,FALSE) * H52</f>
        <v>0</v>
      </c>
      <c r="J52" s="249">
        <v>0</v>
      </c>
      <c r="K52" s="193">
        <f>SUM(I52:J52)</f>
        <v>0</v>
      </c>
    </row>
    <row r="53" spans="1:16383" ht="20.25" customHeight="1">
      <c r="A53" s="316" t="s">
        <v>116</v>
      </c>
      <c r="B53" s="192" t="s">
        <v>88</v>
      </c>
      <c r="C53" s="249">
        <v>0</v>
      </c>
      <c r="D53" s="249">
        <v>0</v>
      </c>
      <c r="E53" s="249">
        <v>0</v>
      </c>
      <c r="F53" s="249">
        <v>0</v>
      </c>
      <c r="H53" s="165">
        <f>IF(C53="x",DetailedEstWeightedValues!$B155,"0")+IF(D53="x",DetailedEstWeightedValues!$C155,"0")+IF(E53="x",DetailedEstWeightedValues!$D155,"0")+IF(F53="x",DetailedEstWeightedValues!$E155,"0")</f>
        <v>0</v>
      </c>
      <c r="I53" s="165">
        <f>VLOOKUP($A53,DetailedEstWeightedValues!$A$159:$B$161,2,FALSE) * H53</f>
        <v>0</v>
      </c>
      <c r="J53" s="249">
        <v>0</v>
      </c>
      <c r="K53" s="193">
        <f>SUM(I53:J53)</f>
        <v>0</v>
      </c>
    </row>
    <row r="54" spans="1:16383" ht="6.75" customHeight="1">
      <c r="A54" s="216"/>
      <c r="B54" s="162"/>
      <c r="C54" s="318"/>
      <c r="D54" s="318"/>
      <c r="E54" s="318"/>
      <c r="F54" s="318"/>
      <c r="G54" s="162"/>
      <c r="H54" s="185"/>
      <c r="I54" s="185"/>
      <c r="J54" s="185"/>
      <c r="K54" s="204"/>
    </row>
    <row r="55" spans="1:16383" ht="20.25" customHeight="1">
      <c r="A55" s="316" t="s">
        <v>69</v>
      </c>
      <c r="B55" s="192" t="s">
        <v>89</v>
      </c>
      <c r="C55" s="249">
        <v>0</v>
      </c>
      <c r="D55" s="249">
        <v>0</v>
      </c>
      <c r="E55" s="249">
        <v>0</v>
      </c>
      <c r="F55" s="249">
        <v>0</v>
      </c>
      <c r="H55" s="165">
        <f>IF(C55="x",DetailedEstWeightedValues!$B153,"0")+IF(D55="x",DetailedEstWeightedValues!$C153,"0")+IF(E55="x",DetailedEstWeightedValues!$D153,"0")+IF(F55="x",DetailedEstWeightedValues!$E153,"0")</f>
        <v>0</v>
      </c>
      <c r="I55" s="165">
        <f>VLOOKUP($A55,DetailedEstWeightedValues!$A$159:$B$161,2,FALSE) * H55</f>
        <v>0</v>
      </c>
      <c r="J55" s="249">
        <v>0</v>
      </c>
      <c r="K55" s="193">
        <f>SUM(I55:J55)</f>
        <v>0</v>
      </c>
    </row>
    <row r="56" spans="1:16383" ht="20.25" customHeight="1">
      <c r="A56" s="316" t="s">
        <v>69</v>
      </c>
      <c r="B56" s="192" t="s">
        <v>90</v>
      </c>
      <c r="C56" s="249">
        <v>0</v>
      </c>
      <c r="D56" s="249">
        <v>0</v>
      </c>
      <c r="E56" s="249">
        <v>0</v>
      </c>
      <c r="F56" s="249">
        <v>0</v>
      </c>
      <c r="H56" s="165">
        <f>IF(C56="x",DetailedEstWeightedValues!$B154,"0")+IF(D56="x",DetailedEstWeightedValues!$C154,"0")+IF(E56="x",DetailedEstWeightedValues!$D154,"0")+IF(F56="x",DetailedEstWeightedValues!$E154,"0")</f>
        <v>0</v>
      </c>
      <c r="I56" s="165">
        <f>VLOOKUP($A56,DetailedEstWeightedValues!$A$159:$B$161,2,FALSE) * H56</f>
        <v>0</v>
      </c>
      <c r="J56" s="249">
        <v>0</v>
      </c>
      <c r="K56" s="193">
        <f>SUM(I56:J56)</f>
        <v>0</v>
      </c>
    </row>
    <row r="57" spans="1:16383" ht="20.25" customHeight="1" thickBot="1">
      <c r="A57" s="317" t="s">
        <v>69</v>
      </c>
      <c r="B57" s="208" t="s">
        <v>91</v>
      </c>
      <c r="C57" s="364">
        <v>0</v>
      </c>
      <c r="D57" s="364">
        <v>0</v>
      </c>
      <c r="E57" s="364">
        <v>0</v>
      </c>
      <c r="F57" s="364">
        <v>0</v>
      </c>
      <c r="G57" s="211"/>
      <c r="H57" s="183">
        <f>IF(C57="x",DetailedEstWeightedValues!$B155,"0")+IF(D57="x",DetailedEstWeightedValues!$C155,"0")+IF(E57="x",DetailedEstWeightedValues!$D155,"0")+IF(F57="x",DetailedEstWeightedValues!$E155,"0")</f>
        <v>0</v>
      </c>
      <c r="I57" s="183">
        <f>VLOOKUP($A57,DetailedEstWeightedValues!$A$159:$B$161,2,FALSE) * H57</f>
        <v>0</v>
      </c>
      <c r="J57" s="364">
        <v>0</v>
      </c>
      <c r="K57" s="212">
        <f>SUM(I57:J57)</f>
        <v>0</v>
      </c>
    </row>
    <row r="58" spans="1:16383" ht="20.25" customHeight="1">
      <c r="B58" s="147"/>
      <c r="C58" s="129"/>
      <c r="D58" s="129"/>
      <c r="H58" s="168"/>
      <c r="I58" s="168"/>
      <c r="J58" s="168"/>
      <c r="K58" s="168"/>
    </row>
    <row r="59" spans="1:16383" ht="6" customHeight="1">
      <c r="A59" s="162"/>
      <c r="B59" s="162"/>
      <c r="C59" s="160"/>
      <c r="D59" s="160"/>
      <c r="E59" s="160"/>
      <c r="F59" s="160"/>
      <c r="G59" s="162"/>
      <c r="H59" s="162"/>
      <c r="I59" s="162"/>
      <c r="J59" s="162"/>
      <c r="K59" s="162"/>
    </row>
    <row r="60" spans="1:16383" ht="6" customHeight="1" thickBot="1">
      <c r="A60" s="162"/>
      <c r="B60" s="162"/>
      <c r="C60" s="209"/>
      <c r="D60" s="209"/>
      <c r="E60" s="209"/>
      <c r="F60" s="209"/>
      <c r="G60" s="162"/>
      <c r="H60" s="162"/>
      <c r="I60" s="162"/>
      <c r="J60" s="162"/>
      <c r="K60" s="162"/>
    </row>
    <row r="61" spans="1:16383" ht="20.25" customHeight="1">
      <c r="A61" s="263"/>
      <c r="B61" s="264" t="s">
        <v>210</v>
      </c>
      <c r="C61" s="451"/>
      <c r="D61" s="452"/>
      <c r="E61" s="452"/>
      <c r="F61" s="453"/>
      <c r="G61" s="265"/>
      <c r="H61" s="246">
        <f>H62</f>
        <v>12</v>
      </c>
      <c r="I61" s="246">
        <f>I62</f>
        <v>12</v>
      </c>
      <c r="J61" s="246">
        <f>J62</f>
        <v>0</v>
      </c>
      <c r="K61" s="247">
        <f>MROUND(SUM(K62),0.25)</f>
        <v>12</v>
      </c>
    </row>
    <row r="62" spans="1:16383" ht="21.75" customHeight="1" thickBot="1">
      <c r="A62" s="363" t="s">
        <v>116</v>
      </c>
      <c r="B62" s="180" t="s">
        <v>210</v>
      </c>
      <c r="C62" s="364">
        <v>12</v>
      </c>
      <c r="D62" s="181"/>
      <c r="E62" s="181"/>
      <c r="F62" s="182"/>
      <c r="G62" s="211"/>
      <c r="H62" s="183">
        <f>C62</f>
        <v>12</v>
      </c>
      <c r="I62" s="183">
        <f>IF(A62="Select a level",0,VLOOKUP($A62,DetailedEstWeightedValues!$A$159:$B$161,2,FALSE) * H62)</f>
        <v>12</v>
      </c>
      <c r="J62" s="364"/>
      <c r="K62" s="212">
        <f>MROUND(SUM(I62:J62), 0.25)</f>
        <v>12</v>
      </c>
    </row>
    <row r="63" spans="1:16383">
      <c r="B63" s="147"/>
      <c r="C63" s="129"/>
      <c r="D63" s="129"/>
      <c r="H63" s="168"/>
      <c r="I63" s="168"/>
      <c r="J63" s="168"/>
      <c r="K63" s="168"/>
    </row>
    <row r="64" spans="1:16383">
      <c r="A64" s="162"/>
      <c r="B64" s="162"/>
      <c r="C64" s="162"/>
      <c r="D64" s="162"/>
      <c r="E64" s="162"/>
      <c r="F64" s="162"/>
      <c r="G64" s="162"/>
      <c r="H64" s="162"/>
      <c r="I64" s="162"/>
      <c r="J64" s="162"/>
      <c r="K64" s="162"/>
    </row>
    <row r="65" spans="1:11" ht="123.75" customHeight="1">
      <c r="B65" s="147" t="s">
        <v>36</v>
      </c>
      <c r="C65" s="447" t="s">
        <v>420</v>
      </c>
      <c r="D65" s="448"/>
      <c r="E65" s="448"/>
      <c r="F65" s="448"/>
      <c r="G65" s="448"/>
      <c r="H65" s="448"/>
      <c r="I65" s="448"/>
      <c r="J65" s="448"/>
      <c r="K65" s="449"/>
    </row>
    <row r="66" spans="1:11">
      <c r="A66" s="162"/>
      <c r="B66" s="162"/>
      <c r="C66" s="162"/>
      <c r="D66" s="162"/>
      <c r="E66" s="162"/>
      <c r="F66" s="162"/>
      <c r="G66" s="162"/>
      <c r="H66" s="162"/>
      <c r="I66" s="162"/>
      <c r="J66" s="162"/>
      <c r="K66" s="162"/>
    </row>
    <row r="67" spans="1:11" ht="139.65" customHeight="1">
      <c r="B67" s="217" t="s">
        <v>287</v>
      </c>
      <c r="C67" s="447" t="s">
        <v>419</v>
      </c>
      <c r="D67" s="448"/>
      <c r="E67" s="448"/>
      <c r="F67" s="448"/>
      <c r="G67" s="448"/>
      <c r="H67" s="448"/>
      <c r="I67" s="448"/>
      <c r="J67" s="448"/>
      <c r="K67" s="449"/>
    </row>
  </sheetData>
  <sheetProtection algorithmName="SHA-512" hashValue="NhrvBEsqli/GvI5zZ10tio7IDRMn4ZKZrSCeeL2m1SePlqYAjZSNROM/fZKpvJRuTHP9Ms1XRnOjg5og9bsPng==" saltValue="2SjGCQ3v9tTn/8IoEXP8Xw==" spinCount="100000" sheet="1" formatCells="0" formatColumns="0" formatRows="0" insertRows="0" deleteRows="0" selectLockedCells="1"/>
  <mergeCells count="5">
    <mergeCell ref="B5:F5"/>
    <mergeCell ref="C65:K65"/>
    <mergeCell ref="C67:K67"/>
    <mergeCell ref="C8:F8"/>
    <mergeCell ref="C61:F61"/>
  </mergeCells>
  <dataValidations disablePrompts="1" count="3">
    <dataValidation type="list" allowBlank="1" showInputMessage="1" showErrorMessage="1" sqref="A63 A43 A58" xr:uid="{00000000-0002-0000-0300-000000000000}">
      <formula1>"New to Area, Experienced, Expert"</formula1>
    </dataValidation>
    <dataValidation type="list" allowBlank="1" showInputMessage="1" showErrorMessage="1" sqref="A42" xr:uid="{00000000-0002-0000-0300-000001000000}">
      <formula1>"Select a level, New to Area, Proficient, Expert"</formula1>
    </dataValidation>
    <dataValidation type="list" allowBlank="1" showInputMessage="1" showErrorMessage="1" sqref="A62" xr:uid="{00000000-0002-0000-0300-000002000000}">
      <formula1>"Select a level,New to Area,Proficient,Expert"</formula1>
    </dataValidation>
  </dataValidations>
  <pageMargins left="0.25" right="0.25" top="0.5" bottom="0.5" header="0.3" footer="0.3"/>
  <pageSetup scale="70" fitToHeight="0" orientation="landscape" r:id="rId1"/>
  <headerFooter alignWithMargins="0">
    <oddHeader>&amp;LExisting Module Estimate Documentation&amp;RPA PROMISeTM</oddHeader>
    <oddFooter>&amp;L&amp;D
&amp;F&amp;RPage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K51"/>
  <sheetViews>
    <sheetView topLeftCell="A20" zoomScaleNormal="130" workbookViewId="0">
      <selection activeCell="B24" sqref="B24"/>
    </sheetView>
  </sheetViews>
  <sheetFormatPr defaultColWidth="8.44140625" defaultRowHeight="13.2"/>
  <cols>
    <col min="1" max="1" width="31.44140625" customWidth="1"/>
    <col min="2" max="2" width="62.44140625" bestFit="1" customWidth="1"/>
    <col min="3" max="3" width="10.44140625" customWidth="1"/>
    <col min="4" max="4" width="9.44140625" customWidth="1"/>
    <col min="5" max="5" width="20.44140625" bestFit="1" customWidth="1"/>
    <col min="6" max="6" width="11.44140625" customWidth="1"/>
    <col min="7" max="7" width="6.44140625" customWidth="1"/>
    <col min="8" max="8" width="12.44140625" style="325" customWidth="1"/>
    <col min="9" max="9" width="13.44140625" style="325" customWidth="1"/>
    <col min="10" max="10" width="12.44140625" customWidth="1"/>
    <col min="11" max="11" width="13" style="325" customWidth="1"/>
  </cols>
  <sheetData>
    <row r="1" spans="1:11">
      <c r="A1" s="1" t="str">
        <f>InitialEstimate!A1</f>
        <v>Template Version:</v>
      </c>
      <c r="B1" s="311">
        <f>InitialEstimate!B1</f>
        <v>2.8</v>
      </c>
    </row>
    <row r="2" spans="1:11" ht="21">
      <c r="A2" s="283" t="s">
        <v>109</v>
      </c>
      <c r="B2" s="284"/>
    </row>
    <row r="4" spans="1:11" ht="21.15" customHeight="1">
      <c r="A4" s="285" t="s">
        <v>110</v>
      </c>
      <c r="B4" s="16" t="str">
        <f>InitialEstimate!F3</f>
        <v>23810 002</v>
      </c>
    </row>
    <row r="5" spans="1:11" ht="75.150000000000006" customHeight="1">
      <c r="A5" s="2" t="s">
        <v>20</v>
      </c>
      <c r="B5" s="397" t="s">
        <v>249</v>
      </c>
      <c r="C5" s="397"/>
      <c r="D5" s="397"/>
      <c r="E5" s="397"/>
      <c r="F5" s="397"/>
    </row>
    <row r="6" spans="1:11" ht="15.75" customHeight="1">
      <c r="A6" s="2"/>
      <c r="B6" s="310"/>
      <c r="C6" s="310"/>
      <c r="D6" s="310"/>
      <c r="E6" s="310"/>
      <c r="F6" s="310"/>
    </row>
    <row r="7" spans="1:11" ht="13.8">
      <c r="A7" s="2" t="s">
        <v>111</v>
      </c>
      <c r="B7" s="249" t="s">
        <v>409</v>
      </c>
    </row>
    <row r="10" spans="1:11" ht="32.25" customHeight="1">
      <c r="A10" s="286" t="s">
        <v>66</v>
      </c>
      <c r="B10" s="287" t="s">
        <v>96</v>
      </c>
      <c r="C10" s="286" t="s">
        <v>115</v>
      </c>
      <c r="D10" s="286" t="s">
        <v>6</v>
      </c>
      <c r="E10" s="288"/>
      <c r="F10" s="286" t="s">
        <v>112</v>
      </c>
      <c r="G10" s="286"/>
      <c r="H10" s="326" t="s">
        <v>114</v>
      </c>
      <c r="I10" s="326" t="s">
        <v>79</v>
      </c>
      <c r="J10" s="286" t="s">
        <v>80</v>
      </c>
      <c r="K10" s="326" t="s">
        <v>81</v>
      </c>
    </row>
    <row r="11" spans="1:11" ht="13.65" customHeight="1">
      <c r="A11" s="7"/>
      <c r="B11" s="8"/>
      <c r="C11" s="7"/>
      <c r="D11" s="7"/>
      <c r="E11" s="9"/>
      <c r="F11" s="7"/>
      <c r="G11" s="7"/>
      <c r="H11" s="327"/>
      <c r="I11" s="327"/>
      <c r="J11" s="7"/>
      <c r="K11" s="327"/>
    </row>
    <row r="12" spans="1:11" ht="21.75" customHeight="1">
      <c r="A12" s="244"/>
      <c r="B12" s="454" t="s">
        <v>95</v>
      </c>
      <c r="C12" s="454"/>
      <c r="D12" s="454"/>
      <c r="E12" s="454"/>
      <c r="F12" s="454"/>
      <c r="G12" s="455"/>
      <c r="H12" s="245">
        <f>SUM(H14:H35)</f>
        <v>360.4</v>
      </c>
      <c r="I12" s="245">
        <f>SUM(I14:I35)</f>
        <v>353.9</v>
      </c>
      <c r="J12" s="245">
        <f>SUM(J14:J35)</f>
        <v>0</v>
      </c>
      <c r="K12" s="245">
        <f>SUM(K14:K35)</f>
        <v>353.9</v>
      </c>
    </row>
    <row r="13" spans="1:11" ht="13.65" customHeight="1">
      <c r="A13" s="7"/>
      <c r="B13" s="10"/>
      <c r="C13" s="10"/>
      <c r="D13" s="10"/>
      <c r="E13" s="10"/>
      <c r="F13" s="10"/>
      <c r="G13" s="10"/>
      <c r="H13" s="12"/>
      <c r="I13" s="12"/>
      <c r="J13" s="12"/>
      <c r="K13" s="12"/>
    </row>
    <row r="14" spans="1:11" ht="71.400000000000006">
      <c r="A14" s="281" t="s">
        <v>116</v>
      </c>
      <c r="B14" s="5" t="s">
        <v>346</v>
      </c>
      <c r="C14" s="366">
        <v>6</v>
      </c>
      <c r="D14" s="10"/>
      <c r="E14" s="301" t="s">
        <v>113</v>
      </c>
      <c r="F14" s="366">
        <v>9</v>
      </c>
      <c r="G14" s="6"/>
      <c r="H14" s="328">
        <f>C14*1*F14</f>
        <v>54</v>
      </c>
      <c r="I14" s="328">
        <f>VLOOKUP($A14,DetailedEstWeightedValues!$A$159:$B$161,2,FALSE) * H14</f>
        <v>54</v>
      </c>
      <c r="J14" s="366">
        <v>0</v>
      </c>
      <c r="K14" s="328">
        <f>I14+J14</f>
        <v>54</v>
      </c>
    </row>
    <row r="15" spans="1:11" ht="26.4">
      <c r="A15" s="281" t="s">
        <v>116</v>
      </c>
      <c r="B15" s="15" t="s">
        <v>351</v>
      </c>
      <c r="C15" s="6"/>
      <c r="D15" s="366">
        <v>0.2</v>
      </c>
      <c r="E15" s="6"/>
      <c r="F15" s="6"/>
      <c r="G15" s="6"/>
      <c r="H15" s="328">
        <f>D15*F14*C14</f>
        <v>10.8</v>
      </c>
      <c r="I15" s="328">
        <f>VLOOKUP($A15,DetailedEstWeightedValues!$A$159:$B$161,2,FALSE) * H15</f>
        <v>10.8</v>
      </c>
      <c r="J15" s="366">
        <v>0</v>
      </c>
      <c r="K15" s="328">
        <f>I15+J15</f>
        <v>10.8</v>
      </c>
    </row>
    <row r="16" spans="1:11">
      <c r="A16" s="6"/>
      <c r="B16" s="6"/>
      <c r="C16" s="6"/>
      <c r="D16" s="13"/>
      <c r="E16" s="6"/>
      <c r="F16" s="6"/>
      <c r="G16" s="6"/>
      <c r="H16" s="328"/>
      <c r="I16" s="328"/>
      <c r="J16" s="97"/>
      <c r="K16" s="328"/>
    </row>
    <row r="17" spans="1:11" ht="71.400000000000006">
      <c r="A17" s="282" t="s">
        <v>116</v>
      </c>
      <c r="B17" s="5" t="s">
        <v>344</v>
      </c>
      <c r="C17" s="366">
        <v>1</v>
      </c>
      <c r="D17" s="10"/>
      <c r="E17" s="301" t="s">
        <v>113</v>
      </c>
      <c r="F17" s="366">
        <v>9</v>
      </c>
      <c r="G17" s="6"/>
      <c r="H17" s="328">
        <f>C17*1*F17</f>
        <v>9</v>
      </c>
      <c r="I17" s="328">
        <f>VLOOKUP($A17,DetailedEstWeightedValues!$A$159:$B$161,2,FALSE) * H17</f>
        <v>9</v>
      </c>
      <c r="J17" s="366">
        <v>0</v>
      </c>
      <c r="K17" s="328">
        <f>I17+J17</f>
        <v>9</v>
      </c>
    </row>
    <row r="18" spans="1:11" ht="26.4">
      <c r="A18" s="282" t="s">
        <v>116</v>
      </c>
      <c r="B18" s="15" t="s">
        <v>352</v>
      </c>
      <c r="C18" s="6"/>
      <c r="D18" s="366">
        <v>0.15</v>
      </c>
      <c r="E18" s="6"/>
      <c r="F18" s="6"/>
      <c r="G18" s="6"/>
      <c r="H18" s="328">
        <f>D18*F17*C17</f>
        <v>1.3499999999999999</v>
      </c>
      <c r="I18" s="328">
        <f>VLOOKUP($A18,DetailedEstWeightedValues!$A$159:$B$161,2,FALSE) * H18</f>
        <v>1.3499999999999999</v>
      </c>
      <c r="J18" s="366">
        <v>0</v>
      </c>
      <c r="K18" s="328">
        <f>I18+J18</f>
        <v>1.3499999999999999</v>
      </c>
    </row>
    <row r="19" spans="1:11">
      <c r="A19" s="6"/>
      <c r="B19" s="6"/>
      <c r="C19" s="6"/>
      <c r="D19" s="13"/>
      <c r="E19" s="6"/>
      <c r="F19" s="6"/>
      <c r="G19" s="6"/>
      <c r="H19" s="328"/>
      <c r="I19" s="328"/>
      <c r="J19" s="96"/>
      <c r="K19" s="328"/>
    </row>
    <row r="20" spans="1:11" ht="57">
      <c r="A20" s="282" t="s">
        <v>116</v>
      </c>
      <c r="B20" s="5" t="s">
        <v>345</v>
      </c>
      <c r="C20" s="366">
        <v>15</v>
      </c>
      <c r="D20" s="10"/>
      <c r="E20" s="301" t="s">
        <v>113</v>
      </c>
      <c r="F20" s="366">
        <v>9</v>
      </c>
      <c r="G20" s="6"/>
      <c r="H20" s="328">
        <f>C20*1*F20</f>
        <v>135</v>
      </c>
      <c r="I20" s="328">
        <f>VLOOKUP($A20,DetailedEstWeightedValues!$A$159:$B$161,2,FALSE) * H20</f>
        <v>135</v>
      </c>
      <c r="J20" s="366"/>
      <c r="K20" s="328">
        <f>I20+J20</f>
        <v>135</v>
      </c>
    </row>
    <row r="21" spans="1:11" ht="26.4">
      <c r="A21" s="282" t="s">
        <v>116</v>
      </c>
      <c r="B21" s="15" t="s">
        <v>350</v>
      </c>
      <c r="C21" s="13"/>
      <c r="D21" s="366">
        <v>0.15</v>
      </c>
      <c r="E21" s="6"/>
      <c r="F21" s="6"/>
      <c r="G21" s="6"/>
      <c r="H21" s="328">
        <f>D21*F20*C20</f>
        <v>20.249999999999996</v>
      </c>
      <c r="I21" s="328">
        <f>VLOOKUP($A21,DetailedEstWeightedValues!$A$159:$B$161,2,FALSE) * H21</f>
        <v>20.249999999999996</v>
      </c>
      <c r="J21" s="366"/>
      <c r="K21" s="328">
        <f>I21+J21</f>
        <v>20.249999999999996</v>
      </c>
    </row>
    <row r="22" spans="1:11">
      <c r="A22" s="6"/>
      <c r="B22" s="6"/>
      <c r="C22" s="6"/>
      <c r="D22" s="6"/>
      <c r="E22" s="6"/>
      <c r="F22" s="6"/>
      <c r="G22" s="6"/>
      <c r="H22" s="328"/>
      <c r="I22" s="328"/>
      <c r="J22" s="96"/>
      <c r="K22" s="328"/>
    </row>
    <row r="23" spans="1:11" ht="28.2">
      <c r="A23" s="14"/>
      <c r="B23" s="5" t="s">
        <v>168</v>
      </c>
      <c r="D23" s="10"/>
      <c r="E23" s="6"/>
      <c r="F23" s="13"/>
      <c r="G23" s="6"/>
      <c r="H23" s="329"/>
      <c r="I23" s="328"/>
      <c r="K23" s="328">
        <f>I23+J24</f>
        <v>0</v>
      </c>
    </row>
    <row r="24" spans="1:11" s="345" customFormat="1" ht="13.8">
      <c r="A24" s="282" t="s">
        <v>69</v>
      </c>
      <c r="B24" s="282" t="s">
        <v>421</v>
      </c>
      <c r="C24" s="13"/>
      <c r="D24" s="366">
        <v>10</v>
      </c>
      <c r="E24" s="13"/>
      <c r="F24" s="13"/>
      <c r="G24" s="13"/>
      <c r="H24" s="328">
        <f t="shared" ref="H24:H29" si="0">D24</f>
        <v>10</v>
      </c>
      <c r="I24" s="328">
        <f>VLOOKUP($A24,DetailedEstWeightedValues!$A$159:$B$161,2,FALSE) * H24</f>
        <v>9.5</v>
      </c>
      <c r="J24" s="366">
        <v>0</v>
      </c>
      <c r="K24" s="328">
        <f t="shared" ref="K24:K29" si="1">I24+J24</f>
        <v>9.5</v>
      </c>
    </row>
    <row r="25" spans="1:11" s="345" customFormat="1" ht="13.8">
      <c r="A25" s="282" t="s">
        <v>116</v>
      </c>
      <c r="B25" s="282"/>
      <c r="C25" s="13"/>
      <c r="D25" s="366"/>
      <c r="E25" s="13"/>
      <c r="F25" s="13"/>
      <c r="G25" s="13"/>
      <c r="H25" s="328">
        <f t="shared" si="0"/>
        <v>0</v>
      </c>
      <c r="I25" s="328">
        <f>VLOOKUP($A25,DetailedEstWeightedValues!$A$159:$B$161,2,FALSE) * H25</f>
        <v>0</v>
      </c>
      <c r="J25" s="366">
        <v>0</v>
      </c>
      <c r="K25" s="328">
        <f t="shared" si="1"/>
        <v>0</v>
      </c>
    </row>
    <row r="26" spans="1:11" s="345" customFormat="1" ht="13.8">
      <c r="A26" s="333" t="s">
        <v>69</v>
      </c>
      <c r="B26" s="333"/>
      <c r="C26" s="13"/>
      <c r="D26" s="366">
        <v>0</v>
      </c>
      <c r="E26" s="13"/>
      <c r="F26" s="13"/>
      <c r="G26" s="13"/>
      <c r="H26" s="328">
        <f t="shared" si="0"/>
        <v>0</v>
      </c>
      <c r="I26" s="328">
        <f>VLOOKUP($A26,DetailedEstWeightedValues!$A$159:$B$161,2,FALSE) * H26</f>
        <v>0</v>
      </c>
      <c r="J26" s="366">
        <v>0</v>
      </c>
      <c r="K26" s="328">
        <f t="shared" si="1"/>
        <v>0</v>
      </c>
    </row>
    <row r="27" spans="1:11" s="345" customFormat="1" ht="13.8">
      <c r="A27" s="365" t="s">
        <v>69</v>
      </c>
      <c r="B27" s="333"/>
      <c r="C27" s="13"/>
      <c r="D27" s="366">
        <v>0</v>
      </c>
      <c r="E27" s="13"/>
      <c r="F27" s="13"/>
      <c r="G27" s="13"/>
      <c r="H27" s="328">
        <f t="shared" si="0"/>
        <v>0</v>
      </c>
      <c r="I27" s="328">
        <f>VLOOKUP($A27,DetailedEstWeightedValues!$A$159:$B$161,2,FALSE) * H27</f>
        <v>0</v>
      </c>
      <c r="J27" s="366">
        <v>0</v>
      </c>
      <c r="K27" s="328">
        <f t="shared" si="1"/>
        <v>0</v>
      </c>
    </row>
    <row r="28" spans="1:11" s="345" customFormat="1" ht="13.8">
      <c r="A28" s="365" t="s">
        <v>116</v>
      </c>
      <c r="B28" s="333"/>
      <c r="C28" s="13"/>
      <c r="D28" s="372">
        <v>0</v>
      </c>
      <c r="E28" s="13"/>
      <c r="F28" s="13"/>
      <c r="G28" s="13"/>
      <c r="H28" s="328">
        <f t="shared" si="0"/>
        <v>0</v>
      </c>
      <c r="I28" s="328">
        <f>VLOOKUP($A28,DetailedEstWeightedValues!$A$159:$B$161,2,FALSE) * H28</f>
        <v>0</v>
      </c>
      <c r="J28" s="372">
        <v>0</v>
      </c>
      <c r="K28" s="328">
        <f t="shared" si="1"/>
        <v>0</v>
      </c>
    </row>
    <row r="29" spans="1:11" s="345" customFormat="1" ht="13.8">
      <c r="A29" s="362" t="s">
        <v>116</v>
      </c>
      <c r="B29" s="282"/>
      <c r="C29" s="13"/>
      <c r="D29" s="366"/>
      <c r="E29" s="13"/>
      <c r="F29" s="13"/>
      <c r="G29" s="13"/>
      <c r="H29" s="328">
        <f t="shared" si="0"/>
        <v>0</v>
      </c>
      <c r="I29" s="328">
        <f>VLOOKUP($A29,DetailedEstWeightedValues!$A$159:$B$161,2,FALSE) * H29</f>
        <v>0</v>
      </c>
      <c r="J29" s="366"/>
      <c r="K29" s="328">
        <f t="shared" si="1"/>
        <v>0</v>
      </c>
    </row>
    <row r="30" spans="1:11">
      <c r="H30" s="330"/>
      <c r="I30" s="330"/>
      <c r="J30" s="98"/>
      <c r="K30" s="330"/>
    </row>
    <row r="31" spans="1:11">
      <c r="H31" s="330"/>
      <c r="I31" s="330"/>
      <c r="J31" s="98"/>
      <c r="K31" s="330"/>
    </row>
    <row r="32" spans="1:11" ht="27">
      <c r="A32" s="282" t="s">
        <v>69</v>
      </c>
      <c r="B32" s="5" t="s">
        <v>170</v>
      </c>
      <c r="D32" s="366">
        <v>120</v>
      </c>
      <c r="H32" s="330">
        <f>D32</f>
        <v>120</v>
      </c>
      <c r="I32" s="328">
        <f>VLOOKUP($A32,DetailedEstWeightedValues!$A$159:$B$161,2,FALSE) * H32</f>
        <v>114</v>
      </c>
      <c r="J32" s="366">
        <v>0</v>
      </c>
      <c r="K32" s="328">
        <f>I32+J32</f>
        <v>114</v>
      </c>
    </row>
    <row r="34" spans="1:11" ht="15" customHeight="1"/>
    <row r="35" spans="1:11">
      <c r="A35" s="331"/>
      <c r="B35" s="331"/>
      <c r="C35" s="331"/>
      <c r="D35" s="331"/>
      <c r="E35" s="331"/>
      <c r="F35" s="331"/>
      <c r="G35" s="331"/>
      <c r="H35" s="332"/>
      <c r="I35" s="332"/>
      <c r="J35" s="331"/>
      <c r="K35" s="332"/>
    </row>
    <row r="36" spans="1:11" ht="28.2">
      <c r="B36" s="5" t="s">
        <v>174</v>
      </c>
      <c r="C36" s="456" t="s">
        <v>408</v>
      </c>
      <c r="D36" s="457"/>
      <c r="E36" s="457"/>
      <c r="F36" s="457"/>
      <c r="G36" s="457"/>
      <c r="H36" s="457"/>
      <c r="I36" s="457"/>
      <c r="J36" s="457"/>
      <c r="K36" s="458"/>
    </row>
    <row r="37" spans="1:11" ht="21.15" customHeight="1">
      <c r="B37" s="3"/>
      <c r="C37" s="459"/>
      <c r="D37" s="460"/>
      <c r="E37" s="460"/>
      <c r="F37" s="460"/>
      <c r="G37" s="460"/>
      <c r="H37" s="460"/>
      <c r="I37" s="460"/>
      <c r="J37" s="460"/>
      <c r="K37" s="461"/>
    </row>
    <row r="38" spans="1:11" ht="21.15" customHeight="1">
      <c r="B38" s="3"/>
      <c r="C38" s="459"/>
      <c r="D38" s="460"/>
      <c r="E38" s="460"/>
      <c r="F38" s="460"/>
      <c r="G38" s="460"/>
      <c r="H38" s="460"/>
      <c r="I38" s="460"/>
      <c r="J38" s="460"/>
      <c r="K38" s="461"/>
    </row>
    <row r="39" spans="1:11" ht="21.15" customHeight="1">
      <c r="B39" s="3"/>
      <c r="C39" s="459"/>
      <c r="D39" s="460"/>
      <c r="E39" s="460"/>
      <c r="F39" s="460"/>
      <c r="G39" s="460"/>
      <c r="H39" s="460"/>
      <c r="I39" s="460"/>
      <c r="J39" s="460"/>
      <c r="K39" s="461"/>
    </row>
    <row r="40" spans="1:11" ht="21.15" customHeight="1">
      <c r="B40" s="3"/>
      <c r="C40" s="459"/>
      <c r="D40" s="460"/>
      <c r="E40" s="460"/>
      <c r="F40" s="460"/>
      <c r="G40" s="460"/>
      <c r="H40" s="460"/>
      <c r="I40" s="460"/>
      <c r="J40" s="460"/>
      <c r="K40" s="461"/>
    </row>
    <row r="41" spans="1:11" ht="21.15" customHeight="1">
      <c r="B41" s="3"/>
      <c r="C41" s="459"/>
      <c r="D41" s="460"/>
      <c r="E41" s="460"/>
      <c r="F41" s="460"/>
      <c r="G41" s="460"/>
      <c r="H41" s="460"/>
      <c r="I41" s="460"/>
      <c r="J41" s="460"/>
      <c r="K41" s="461"/>
    </row>
    <row r="42" spans="1:11" ht="21.15" customHeight="1">
      <c r="B42" s="3"/>
      <c r="C42" s="462"/>
      <c r="D42" s="463"/>
      <c r="E42" s="463"/>
      <c r="F42" s="463"/>
      <c r="G42" s="463"/>
      <c r="H42" s="463"/>
      <c r="I42" s="463"/>
      <c r="J42" s="463"/>
      <c r="K42" s="464"/>
    </row>
    <row r="43" spans="1:11" ht="8.4" customHeight="1">
      <c r="B43" s="4"/>
      <c r="C43" s="4"/>
      <c r="D43" s="4"/>
      <c r="E43" s="4"/>
      <c r="F43" s="4"/>
      <c r="G43" s="4"/>
      <c r="H43" s="4"/>
      <c r="I43" s="4"/>
      <c r="J43" s="4"/>
      <c r="K43" s="4"/>
    </row>
    <row r="44" spans="1:11" ht="27.75" customHeight="1">
      <c r="B44" s="5" t="s">
        <v>169</v>
      </c>
      <c r="C44" s="456"/>
      <c r="D44" s="457"/>
      <c r="E44" s="457"/>
      <c r="F44" s="457"/>
      <c r="G44" s="457"/>
      <c r="H44" s="457"/>
      <c r="I44" s="457"/>
      <c r="J44" s="457"/>
      <c r="K44" s="458"/>
    </row>
    <row r="45" spans="1:11" ht="13.65" customHeight="1">
      <c r="C45" s="459"/>
      <c r="D45" s="460"/>
      <c r="E45" s="460"/>
      <c r="F45" s="460"/>
      <c r="G45" s="460"/>
      <c r="H45" s="460"/>
      <c r="I45" s="460"/>
      <c r="J45" s="460"/>
      <c r="K45" s="461"/>
    </row>
    <row r="46" spans="1:11" ht="13.65" customHeight="1">
      <c r="C46" s="459"/>
      <c r="D46" s="460"/>
      <c r="E46" s="460"/>
      <c r="F46" s="460"/>
      <c r="G46" s="460"/>
      <c r="H46" s="460"/>
      <c r="I46" s="460"/>
      <c r="J46" s="460"/>
      <c r="K46" s="461"/>
    </row>
    <row r="47" spans="1:11" ht="13.65" customHeight="1">
      <c r="C47" s="459"/>
      <c r="D47" s="460"/>
      <c r="E47" s="460"/>
      <c r="F47" s="460"/>
      <c r="G47" s="460"/>
      <c r="H47" s="460"/>
      <c r="I47" s="460"/>
      <c r="J47" s="460"/>
      <c r="K47" s="461"/>
    </row>
    <row r="48" spans="1:11" ht="13.65" customHeight="1">
      <c r="C48" s="459"/>
      <c r="D48" s="460"/>
      <c r="E48" s="460"/>
      <c r="F48" s="460"/>
      <c r="G48" s="460"/>
      <c r="H48" s="460"/>
      <c r="I48" s="460"/>
      <c r="J48" s="460"/>
      <c r="K48" s="461"/>
    </row>
    <row r="49" spans="3:11" ht="13.65" customHeight="1">
      <c r="C49" s="459"/>
      <c r="D49" s="460"/>
      <c r="E49" s="460"/>
      <c r="F49" s="460"/>
      <c r="G49" s="460"/>
      <c r="H49" s="460"/>
      <c r="I49" s="460"/>
      <c r="J49" s="460"/>
      <c r="K49" s="461"/>
    </row>
    <row r="50" spans="3:11" ht="13.65" customHeight="1">
      <c r="C50" s="459"/>
      <c r="D50" s="460"/>
      <c r="E50" s="460"/>
      <c r="F50" s="460"/>
      <c r="G50" s="460"/>
      <c r="H50" s="460"/>
      <c r="I50" s="460"/>
      <c r="J50" s="460"/>
      <c r="K50" s="461"/>
    </row>
    <row r="51" spans="3:11" ht="13.65" customHeight="1">
      <c r="C51" s="462"/>
      <c r="D51" s="463"/>
      <c r="E51" s="463"/>
      <c r="F51" s="463"/>
      <c r="G51" s="463"/>
      <c r="H51" s="463"/>
      <c r="I51" s="463"/>
      <c r="J51" s="463"/>
      <c r="K51" s="464"/>
    </row>
  </sheetData>
  <sheetProtection algorithmName="SHA-512" hashValue="DF9C8LM6u/e2BFyv2GUkwgUqAZDIeGFAWKdq6OUeGThERjiLPmKrJuUp1gYkk83CisRhvAG3YYNFimXB1//l7Q==" saltValue="UgrTV1Io+KFtquneMNqJGw==" spinCount="100000" sheet="1" formatCells="0" formatColumns="0" formatRows="0" insertRows="0" deleteRows="0" selectLockedCells="1"/>
  <protectedRanges>
    <protectedRange algorithmName="SHA-512" hashValue="8SDVFCv/4YOmpl9DcAozE7BuR26PcW8AjS8D5QJvUP9/lzP3XDqxhOlJgYrGImzQB8VF5Kl1dzoRTh4VdtUmIw==" saltValue="j53QQfYzuYBKoQflLUws8Q==" spinCount="100000" sqref="B36:B44" name="Range5"/>
    <protectedRange sqref="B14:B23 B32:B36" name="Range3"/>
    <protectedRange algorithmName="SHA-512" hashValue="ifQanlCrKxnvvuP0wclMmw4fnYJl8vXEmWXXVnWgJ4Am5LrXZXXv8DDBXp+vco/6YXHQW8iMagbSLBlokh2gzA==" saltValue="ozOHgDfJZUVehfTP/2EeJg==" spinCount="100000" sqref="A10:K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E14:E35 H14:I32 K14:K32" name="Range4"/>
    <protectedRange sqref="H1:H1048576" name="Range6"/>
    <protectedRange sqref="I1:I1048576" name="Range7"/>
    <protectedRange sqref="K1:K1048576" name="Range8"/>
  </protectedRanges>
  <mergeCells count="4">
    <mergeCell ref="B5:F5"/>
    <mergeCell ref="B12:G12"/>
    <mergeCell ref="C36:K42"/>
    <mergeCell ref="C44:K51"/>
  </mergeCells>
  <dataValidations count="2">
    <dataValidation type="list" allowBlank="1" showInputMessage="1" showErrorMessage="1" sqref="A14:A15 A17:A18 A20:A21 A32" xr:uid="{00000000-0002-0000-0400-000000000000}">
      <formula1>"New to Area, Proficient, Expert"</formula1>
    </dataValidation>
    <dataValidation type="list" allowBlank="1" showInputMessage="1" showErrorMessage="1" sqref="A24:A29" xr:uid="{00000000-0002-0000-0400-000001000000}">
      <formula1>"Proficient, Expert"</formula1>
    </dataValidation>
  </dataValidations>
  <pageMargins left="0.25" right="0.25" top="0.5" bottom="0.5" header="0.3" footer="0.3"/>
  <pageSetup scale="67"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30480</xdr:colOff>
                    <xdr:row>29</xdr:row>
                    <xdr:rowOff>30480</xdr:rowOff>
                  </from>
                  <to>
                    <xdr:col>0</xdr:col>
                    <xdr:colOff>2164080</xdr:colOff>
                    <xdr:row>30</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48"/>
  <sheetViews>
    <sheetView topLeftCell="A3" zoomScale="110" zoomScaleNormal="110" workbookViewId="0">
      <selection activeCell="D15" sqref="D15"/>
    </sheetView>
  </sheetViews>
  <sheetFormatPr defaultRowHeight="13.2"/>
  <cols>
    <col min="1" max="1" width="49.44140625" customWidth="1"/>
    <col min="2" max="2" width="16.44140625" customWidth="1"/>
    <col min="3" max="3" width="22.44140625" customWidth="1"/>
    <col min="4" max="4" width="19.44140625" customWidth="1"/>
    <col min="5" max="5" width="22.44140625" customWidth="1"/>
    <col min="6" max="6" width="13.44140625" customWidth="1"/>
  </cols>
  <sheetData>
    <row r="1" spans="1:6">
      <c r="A1" s="1" t="s">
        <v>177</v>
      </c>
      <c r="B1" s="311">
        <f>InitialEstimate!B1</f>
        <v>2.8</v>
      </c>
      <c r="C1" s="11"/>
      <c r="D1" s="11"/>
      <c r="E1" s="11"/>
    </row>
    <row r="2" spans="1:6" ht="21">
      <c r="A2" s="223" t="s">
        <v>22</v>
      </c>
      <c r="B2" s="121" t="str">
        <f>InitialEstimate!F3</f>
        <v>23810 002</v>
      </c>
      <c r="C2" s="11"/>
      <c r="D2" s="11"/>
      <c r="E2" s="11"/>
    </row>
    <row r="3" spans="1:6" ht="264.75" customHeight="1">
      <c r="A3" s="184" t="s">
        <v>20</v>
      </c>
      <c r="B3" s="397" t="s">
        <v>349</v>
      </c>
      <c r="C3" s="397"/>
      <c r="D3" s="397"/>
      <c r="E3" s="397"/>
      <c r="F3" s="397"/>
    </row>
    <row r="4" spans="1:6" ht="17.399999999999999">
      <c r="A4" s="220" t="s">
        <v>235</v>
      </c>
      <c r="B4" s="220"/>
      <c r="C4" s="220"/>
      <c r="D4" s="221" t="s">
        <v>191</v>
      </c>
      <c r="E4" s="259">
        <f>ROUNDUP(SUM(E5+E6),0)</f>
        <v>1995</v>
      </c>
    </row>
    <row r="5" spans="1:6" s="219" customFormat="1" ht="17.399999999999999">
      <c r="A5" s="260" t="s">
        <v>247</v>
      </c>
      <c r="B5" s="465">
        <v>46143</v>
      </c>
      <c r="C5" s="466"/>
      <c r="D5" s="466"/>
      <c r="E5" s="346">
        <v>1363</v>
      </c>
    </row>
    <row r="6" spans="1:6" s="219" customFormat="1" ht="17.399999999999999">
      <c r="A6" s="261" t="s">
        <v>167</v>
      </c>
      <c r="B6" s="467"/>
      <c r="C6" s="467"/>
      <c r="D6" s="467"/>
      <c r="E6" s="324">
        <f>MROUND(SUM(F8+F17+F26+F32), 0.25)</f>
        <v>631.5</v>
      </c>
    </row>
    <row r="8" spans="1:6" s="322" customFormat="1" ht="17.399999999999999">
      <c r="A8" s="268" t="s">
        <v>236</v>
      </c>
      <c r="B8" s="268"/>
      <c r="C8" s="320" t="s">
        <v>167</v>
      </c>
      <c r="D8" s="320" t="s">
        <v>245</v>
      </c>
      <c r="E8" s="321" t="s">
        <v>191</v>
      </c>
      <c r="F8" s="293">
        <f>SUM(E10:E15)</f>
        <v>154.99999999999994</v>
      </c>
    </row>
    <row r="9" spans="1:6" ht="17.399999999999999">
      <c r="A9" s="292"/>
      <c r="B9" s="292"/>
      <c r="C9" s="290"/>
      <c r="D9" s="291"/>
      <c r="E9" s="291"/>
      <c r="F9" s="291"/>
    </row>
    <row r="10" spans="1:6" ht="26.4">
      <c r="A10" s="350" t="s">
        <v>266</v>
      </c>
      <c r="C10" s="346">
        <v>1</v>
      </c>
      <c r="E10" s="325">
        <f>C10</f>
        <v>1</v>
      </c>
    </row>
    <row r="11" spans="1:6" ht="122.25" customHeight="1">
      <c r="A11" s="360" t="s">
        <v>294</v>
      </c>
    </row>
    <row r="12" spans="1:6" ht="26.4">
      <c r="A12" s="289" t="s">
        <v>264</v>
      </c>
      <c r="C12" s="346">
        <v>0</v>
      </c>
      <c r="E12" s="325">
        <f t="shared" ref="E12:E13" si="0">(C12+D12)</f>
        <v>0</v>
      </c>
    </row>
    <row r="13" spans="1:6" ht="149.25" customHeight="1">
      <c r="A13" s="350" t="s">
        <v>296</v>
      </c>
      <c r="C13" s="354">
        <f>'Dtl SE_ModuleDoco'!J11*0.7</f>
        <v>356.29999999999995</v>
      </c>
      <c r="D13" s="346">
        <v>-208.3</v>
      </c>
      <c r="E13" s="325">
        <f t="shared" si="0"/>
        <v>147.99999999999994</v>
      </c>
    </row>
    <row r="14" spans="1:6" ht="26.4">
      <c r="A14" s="350" t="s">
        <v>265</v>
      </c>
      <c r="C14" s="346">
        <v>0</v>
      </c>
      <c r="E14" s="325">
        <f>(C14+D14)</f>
        <v>0</v>
      </c>
    </row>
    <row r="15" spans="1:6" ht="184.8">
      <c r="A15" s="350" t="s">
        <v>299</v>
      </c>
      <c r="C15" s="354">
        <f>'Dtl SE_ModuleDoco'!J90</f>
        <v>6</v>
      </c>
      <c r="D15" s="346">
        <v>0</v>
      </c>
      <c r="E15" s="325">
        <f>(C15+D15)</f>
        <v>6</v>
      </c>
    </row>
    <row r="17" spans="1:6" s="322" customFormat="1" ht="17.399999999999999">
      <c r="A17" s="268" t="s">
        <v>120</v>
      </c>
      <c r="B17" s="268"/>
      <c r="C17" s="320" t="s">
        <v>167</v>
      </c>
      <c r="D17" s="320" t="s">
        <v>245</v>
      </c>
      <c r="E17" s="321" t="s">
        <v>191</v>
      </c>
      <c r="F17" s="294">
        <f>SUM(E18:E23)</f>
        <v>319.95</v>
      </c>
    </row>
    <row r="18" spans="1:6" ht="92.4">
      <c r="A18" s="350" t="s">
        <v>267</v>
      </c>
      <c r="C18" s="346">
        <v>0</v>
      </c>
      <c r="E18" s="325">
        <f>SUM(C18+D18)</f>
        <v>0</v>
      </c>
    </row>
    <row r="19" spans="1:6" ht="105.6">
      <c r="A19" s="350" t="s">
        <v>268</v>
      </c>
      <c r="C19" s="346">
        <v>0</v>
      </c>
      <c r="E19" s="325">
        <f>(C19+D19)</f>
        <v>0</v>
      </c>
    </row>
    <row r="20" spans="1:6" ht="26.4">
      <c r="A20" s="350" t="s">
        <v>282</v>
      </c>
      <c r="C20" s="346">
        <v>0</v>
      </c>
      <c r="E20" s="325">
        <f t="shared" ref="E20:E23" si="1">(C20+D20)</f>
        <v>0</v>
      </c>
    </row>
    <row r="21" spans="1:6" ht="184.8">
      <c r="A21" s="350" t="s">
        <v>298</v>
      </c>
      <c r="C21" s="352">
        <f>SUM('Dtl BA_Considerations'!K20:K23,'Dtl BA_Considerations'!K28:K31,'Dtl BA_Considerations'!K36:K39,'Dtl BA_Considerations'!K42)</f>
        <v>247.95</v>
      </c>
      <c r="D21" s="346">
        <v>0</v>
      </c>
      <c r="E21" s="353">
        <f t="shared" si="1"/>
        <v>247.95</v>
      </c>
    </row>
    <row r="22" spans="1:6" ht="141" customHeight="1">
      <c r="A22" s="350" t="s">
        <v>297</v>
      </c>
      <c r="C22" s="352">
        <f>'Dtl BA_Considerations'!K61</f>
        <v>12</v>
      </c>
      <c r="D22" s="346">
        <v>0</v>
      </c>
      <c r="E22" s="353">
        <f t="shared" si="1"/>
        <v>12</v>
      </c>
    </row>
    <row r="23" spans="1:6" ht="145.19999999999999">
      <c r="A23" s="350" t="s">
        <v>300</v>
      </c>
      <c r="C23" s="352">
        <f>'Dtl BA_Considerations'!K45</f>
        <v>60</v>
      </c>
      <c r="D23" s="346">
        <v>0</v>
      </c>
      <c r="E23" s="353">
        <f t="shared" si="1"/>
        <v>60</v>
      </c>
    </row>
    <row r="26" spans="1:6" s="322" customFormat="1" ht="17.399999999999999">
      <c r="A26" s="268" t="s">
        <v>237</v>
      </c>
      <c r="B26" s="268"/>
      <c r="C26" s="320" t="s">
        <v>167</v>
      </c>
      <c r="D26" s="320" t="s">
        <v>245</v>
      </c>
      <c r="E26" s="321" t="s">
        <v>191</v>
      </c>
      <c r="F26" s="293">
        <f>SUM(E27:E29)</f>
        <v>116.6</v>
      </c>
    </row>
    <row r="27" spans="1:6" ht="159" customHeight="1">
      <c r="A27" s="350" t="s">
        <v>301</v>
      </c>
      <c r="C27" s="352">
        <f>IFERROR(((SUM('Dtl Collaboration_Quality'!K14:K15)/'Dtl Collaboration_Quality'!C14)*2),0)</f>
        <v>21.599999999999998</v>
      </c>
      <c r="D27" s="346">
        <v>60</v>
      </c>
      <c r="E27" s="355">
        <f>SUM(C27+D27)</f>
        <v>81.599999999999994</v>
      </c>
    </row>
    <row r="28" spans="1:6" ht="118.8">
      <c r="A28" s="350" t="s">
        <v>281</v>
      </c>
      <c r="C28" s="346">
        <v>30</v>
      </c>
      <c r="E28" s="325">
        <f t="shared" ref="E28:E29" si="2">SUM(C28+D28)</f>
        <v>30</v>
      </c>
    </row>
    <row r="29" spans="1:6" ht="100.5" customHeight="1">
      <c r="A29" s="350" t="s">
        <v>269</v>
      </c>
      <c r="C29" s="346">
        <v>5</v>
      </c>
      <c r="E29" s="325">
        <f t="shared" si="2"/>
        <v>5</v>
      </c>
    </row>
    <row r="32" spans="1:6" s="322" customFormat="1" ht="17.399999999999999">
      <c r="A32" s="268" t="s">
        <v>238</v>
      </c>
      <c r="B32" s="268"/>
      <c r="C32" s="320" t="s">
        <v>167</v>
      </c>
      <c r="D32" s="320" t="s">
        <v>245</v>
      </c>
      <c r="E32" s="321" t="s">
        <v>191</v>
      </c>
      <c r="F32" s="302">
        <f>E33</f>
        <v>40</v>
      </c>
    </row>
    <row r="33" spans="1:9" ht="26.4">
      <c r="A33" s="351" t="s">
        <v>270</v>
      </c>
      <c r="C33" s="346">
        <v>40</v>
      </c>
      <c r="E33" s="347">
        <f>SUM(C33+D33)</f>
        <v>40</v>
      </c>
    </row>
    <row r="36" spans="1:9">
      <c r="A36" s="184" t="s">
        <v>36</v>
      </c>
      <c r="B36" s="432" t="s">
        <v>422</v>
      </c>
      <c r="C36" s="433"/>
      <c r="D36" s="433"/>
      <c r="E36" s="433"/>
      <c r="F36" s="433"/>
      <c r="G36" s="433"/>
      <c r="H36" s="433"/>
      <c r="I36" s="434"/>
    </row>
    <row r="37" spans="1:9">
      <c r="A37" s="117"/>
      <c r="B37" s="435"/>
      <c r="C37" s="436"/>
      <c r="D37" s="436"/>
      <c r="E37" s="436"/>
      <c r="F37" s="436"/>
      <c r="G37" s="436"/>
      <c r="H37" s="436"/>
      <c r="I37" s="437"/>
    </row>
    <row r="38" spans="1:9">
      <c r="A38" s="117"/>
      <c r="B38" s="435"/>
      <c r="C38" s="436"/>
      <c r="D38" s="436"/>
      <c r="E38" s="436"/>
      <c r="F38" s="436"/>
      <c r="G38" s="436"/>
      <c r="H38" s="436"/>
      <c r="I38" s="437"/>
    </row>
    <row r="39" spans="1:9">
      <c r="A39" s="117"/>
      <c r="B39" s="435"/>
      <c r="C39" s="436"/>
      <c r="D39" s="436"/>
      <c r="E39" s="436"/>
      <c r="F39" s="436"/>
      <c r="G39" s="436"/>
      <c r="H39" s="436"/>
      <c r="I39" s="437"/>
    </row>
    <row r="40" spans="1:9">
      <c r="A40" s="117"/>
      <c r="B40" s="435"/>
      <c r="C40" s="436"/>
      <c r="D40" s="436"/>
      <c r="E40" s="436"/>
      <c r="F40" s="436"/>
      <c r="G40" s="436"/>
      <c r="H40" s="436"/>
      <c r="I40" s="437"/>
    </row>
    <row r="41" spans="1:9">
      <c r="A41" s="117"/>
      <c r="B41" s="438"/>
      <c r="C41" s="439"/>
      <c r="D41" s="439"/>
      <c r="E41" s="439"/>
      <c r="F41" s="439"/>
      <c r="G41" s="439"/>
      <c r="H41" s="439"/>
      <c r="I41" s="440"/>
    </row>
    <row r="42" spans="1:9">
      <c r="A42" s="117"/>
      <c r="B42" s="117"/>
      <c r="C42" s="117"/>
      <c r="D42" s="117"/>
      <c r="E42" s="117"/>
      <c r="F42" s="117"/>
      <c r="G42" s="117"/>
      <c r="H42" s="117"/>
      <c r="I42" s="117"/>
    </row>
    <row r="43" spans="1:9">
      <c r="A43" s="184" t="s">
        <v>283</v>
      </c>
      <c r="B43" s="432"/>
      <c r="C43" s="433"/>
      <c r="D43" s="433"/>
      <c r="E43" s="433"/>
      <c r="F43" s="433"/>
      <c r="G43" s="433"/>
      <c r="H43" s="433"/>
      <c r="I43" s="434"/>
    </row>
    <row r="44" spans="1:9">
      <c r="A44" s="117"/>
      <c r="B44" s="435"/>
      <c r="C44" s="436"/>
      <c r="D44" s="436"/>
      <c r="E44" s="436"/>
      <c r="F44" s="436"/>
      <c r="G44" s="436"/>
      <c r="H44" s="436"/>
      <c r="I44" s="437"/>
    </row>
    <row r="45" spans="1:9">
      <c r="A45" s="117"/>
      <c r="B45" s="435"/>
      <c r="C45" s="436"/>
      <c r="D45" s="436"/>
      <c r="E45" s="436"/>
      <c r="F45" s="436"/>
      <c r="G45" s="436"/>
      <c r="H45" s="436"/>
      <c r="I45" s="437"/>
    </row>
    <row r="46" spans="1:9">
      <c r="A46" s="117"/>
      <c r="B46" s="435"/>
      <c r="C46" s="436"/>
      <c r="D46" s="436"/>
      <c r="E46" s="436"/>
      <c r="F46" s="436"/>
      <c r="G46" s="436"/>
      <c r="H46" s="436"/>
      <c r="I46" s="437"/>
    </row>
    <row r="47" spans="1:9">
      <c r="A47" s="117"/>
      <c r="B47" s="435"/>
      <c r="C47" s="436"/>
      <c r="D47" s="436"/>
      <c r="E47" s="436"/>
      <c r="F47" s="436"/>
      <c r="G47" s="436"/>
      <c r="H47" s="436"/>
      <c r="I47" s="437"/>
    </row>
    <row r="48" spans="1:9">
      <c r="A48" s="117"/>
      <c r="B48" s="438"/>
      <c r="C48" s="439"/>
      <c r="D48" s="439"/>
      <c r="E48" s="439"/>
      <c r="F48" s="439"/>
      <c r="G48" s="439"/>
      <c r="H48" s="439"/>
      <c r="I48" s="440"/>
    </row>
  </sheetData>
  <sheetProtection algorithmName="SHA-512" hashValue="tWelid24SHz5c9zFr/ppu2Zkpnhi59tvDOwyrJgmwMq9nTwPakCo+8JHzfEpWIoZhWNuyd7cIZtY6noum02vXA==" saltValue="c1B4YZ2tVyw9KKqzn4g5Rg==" spinCount="100000" sheet="1" selectLockedCells="1"/>
  <mergeCells count="5">
    <mergeCell ref="B3:F3"/>
    <mergeCell ref="B5:D5"/>
    <mergeCell ref="B6:D6"/>
    <mergeCell ref="B36:I41"/>
    <mergeCell ref="B43:I48"/>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6" sqref="A26:E26"/>
    </sheetView>
  </sheetViews>
  <sheetFormatPr defaultColWidth="12.44140625" defaultRowHeight="14.4"/>
  <cols>
    <col min="1" max="1" width="48.44140625" style="20" bestFit="1" customWidth="1"/>
    <col min="2" max="2" width="12.44140625" style="20"/>
    <col min="3" max="3" width="14.44140625" style="20" bestFit="1" customWidth="1"/>
    <col min="4" max="4" width="12.44140625" style="20"/>
    <col min="5" max="5" width="13.44140625" style="20" bestFit="1" customWidth="1"/>
    <col min="6" max="6" width="16.44140625" style="20" customWidth="1"/>
    <col min="7" max="16384" width="12.44140625" style="20"/>
  </cols>
  <sheetData>
    <row r="1" spans="1:15" s="18" customFormat="1" ht="13.2">
      <c r="A1" s="17" t="s">
        <v>177</v>
      </c>
      <c r="B1" s="311">
        <f>InitialEstimate!B1</f>
        <v>2.8</v>
      </c>
    </row>
    <row r="2" spans="1:15" s="18" customFormat="1" ht="18" customHeight="1">
      <c r="A2" s="468" t="s">
        <v>48</v>
      </c>
      <c r="B2" s="468"/>
      <c r="C2" s="468"/>
      <c r="D2" s="468"/>
      <c r="E2" s="468"/>
      <c r="F2" s="472" t="str">
        <f>InitialEstimate!F3</f>
        <v>23810 002</v>
      </c>
      <c r="G2" s="472"/>
      <c r="H2" s="20"/>
    </row>
    <row r="3" spans="1:15" s="18" customFormat="1" ht="18" customHeight="1">
      <c r="A3" s="473" t="s">
        <v>193</v>
      </c>
      <c r="B3" s="473"/>
      <c r="C3" s="473"/>
      <c r="D3" s="473"/>
      <c r="E3" s="473"/>
      <c r="F3" s="473"/>
      <c r="G3" s="473"/>
      <c r="H3" s="20"/>
    </row>
    <row r="4" spans="1:15">
      <c r="A4" s="19"/>
      <c r="B4" s="469" t="s">
        <v>1</v>
      </c>
      <c r="C4" s="469"/>
      <c r="D4" s="470" t="s">
        <v>131</v>
      </c>
      <c r="E4" s="470"/>
      <c r="F4" s="471" t="s">
        <v>2</v>
      </c>
      <c r="G4" s="471"/>
    </row>
    <row r="5" spans="1:15" s="21" customFormat="1">
      <c r="A5" s="297" t="s">
        <v>178</v>
      </c>
      <c r="B5" s="298" t="s">
        <v>0</v>
      </c>
      <c r="C5" s="298" t="s">
        <v>18</v>
      </c>
      <c r="D5" s="298" t="s">
        <v>0</v>
      </c>
      <c r="E5" s="298" t="s">
        <v>18</v>
      </c>
      <c r="F5" s="298" t="s">
        <v>0</v>
      </c>
      <c r="G5" s="298" t="s">
        <v>18</v>
      </c>
      <c r="H5" s="18"/>
      <c r="I5" s="20"/>
      <c r="J5" s="20"/>
      <c r="K5" s="20"/>
      <c r="L5" s="20"/>
      <c r="M5" s="20"/>
      <c r="N5" s="20"/>
      <c r="O5" s="20"/>
    </row>
    <row r="6" spans="1:15">
      <c r="A6" s="34" t="s">
        <v>179</v>
      </c>
      <c r="B6" s="33">
        <v>25</v>
      </c>
      <c r="C6" s="33">
        <v>20.94</v>
      </c>
      <c r="D6" s="33">
        <v>75</v>
      </c>
      <c r="E6" s="33">
        <v>60.63</v>
      </c>
      <c r="F6" s="32">
        <v>125</v>
      </c>
      <c r="G6" s="32">
        <v>100</v>
      </c>
    </row>
    <row r="7" spans="1:15">
      <c r="A7" s="34" t="s">
        <v>46</v>
      </c>
      <c r="B7" s="33">
        <v>17</v>
      </c>
      <c r="C7" s="33">
        <v>13.6</v>
      </c>
      <c r="D7" s="33">
        <v>51</v>
      </c>
      <c r="E7" s="33">
        <v>40.799999999999997</v>
      </c>
      <c r="F7" s="32">
        <v>85</v>
      </c>
      <c r="G7" s="32">
        <v>68</v>
      </c>
    </row>
    <row r="8" spans="1:15">
      <c r="A8" s="34" t="s">
        <v>153</v>
      </c>
      <c r="B8" s="33">
        <v>46</v>
      </c>
      <c r="C8" s="33">
        <v>36.799999999999997</v>
      </c>
      <c r="D8" s="33">
        <v>115</v>
      </c>
      <c r="E8" s="33">
        <v>92</v>
      </c>
      <c r="F8" s="32">
        <v>294.39999999999998</v>
      </c>
      <c r="G8" s="32">
        <v>235.52500000000001</v>
      </c>
    </row>
    <row r="9" spans="1:15" ht="66">
      <c r="A9" s="34" t="s">
        <v>285</v>
      </c>
      <c r="B9" s="33">
        <v>5</v>
      </c>
      <c r="C9" s="33">
        <v>4.0625</v>
      </c>
      <c r="D9" s="33">
        <v>11.875</v>
      </c>
      <c r="E9" s="33">
        <v>9.6875</v>
      </c>
      <c r="F9" s="32">
        <v>26.875</v>
      </c>
      <c r="G9" s="32">
        <v>21.5625</v>
      </c>
    </row>
    <row r="10" spans="1:15">
      <c r="A10" s="34" t="s">
        <v>243</v>
      </c>
      <c r="B10" s="33">
        <v>5.9375</v>
      </c>
      <c r="C10" s="33">
        <v>4.6875</v>
      </c>
      <c r="D10" s="33">
        <v>15</v>
      </c>
      <c r="E10" s="33">
        <v>11.875</v>
      </c>
      <c r="F10" s="32">
        <v>31.875</v>
      </c>
      <c r="G10" s="32">
        <v>25.625</v>
      </c>
    </row>
    <row r="11" spans="1:15">
      <c r="A11" s="34" t="s">
        <v>37</v>
      </c>
      <c r="B11" s="33">
        <v>8.125</v>
      </c>
      <c r="C11" s="33">
        <v>6.1</v>
      </c>
      <c r="D11" s="33">
        <v>8.125</v>
      </c>
      <c r="E11" s="33">
        <v>6.1</v>
      </c>
      <c r="F11" s="33">
        <v>8.125</v>
      </c>
      <c r="G11" s="33">
        <v>6.1</v>
      </c>
    </row>
    <row r="12" spans="1:15">
      <c r="A12" s="31" t="s">
        <v>192</v>
      </c>
      <c r="B12" s="30">
        <v>20</v>
      </c>
      <c r="C12" s="30">
        <v>16</v>
      </c>
      <c r="D12" s="30">
        <v>60</v>
      </c>
      <c r="E12" s="30">
        <v>48</v>
      </c>
      <c r="F12" s="32">
        <v>90</v>
      </c>
      <c r="G12" s="32">
        <v>75</v>
      </c>
    </row>
    <row r="13" spans="1:15">
      <c r="A13" s="31" t="s">
        <v>180</v>
      </c>
      <c r="B13" s="30">
        <v>50</v>
      </c>
      <c r="C13" s="30">
        <v>35</v>
      </c>
      <c r="D13" s="30">
        <v>100</v>
      </c>
      <c r="E13" s="30">
        <v>80</v>
      </c>
      <c r="F13" s="32">
        <v>200</v>
      </c>
      <c r="G13" s="32">
        <v>150</v>
      </c>
    </row>
    <row r="14" spans="1:15">
      <c r="A14" s="31" t="s">
        <v>157</v>
      </c>
      <c r="B14" s="30">
        <v>15</v>
      </c>
      <c r="C14" s="30">
        <v>10</v>
      </c>
      <c r="D14" s="30">
        <v>50</v>
      </c>
      <c r="E14" s="30">
        <v>35</v>
      </c>
      <c r="F14" s="32">
        <v>90</v>
      </c>
      <c r="G14" s="32">
        <v>75</v>
      </c>
    </row>
    <row r="15" spans="1:15">
      <c r="A15" s="31" t="s">
        <v>181</v>
      </c>
      <c r="B15" s="30">
        <v>3</v>
      </c>
      <c r="C15" s="30">
        <v>5</v>
      </c>
      <c r="D15" s="30">
        <v>8</v>
      </c>
      <c r="E15" s="30">
        <v>1</v>
      </c>
      <c r="F15" s="32">
        <v>2.5</v>
      </c>
      <c r="G15" s="32">
        <v>5</v>
      </c>
    </row>
    <row r="16" spans="1:15" ht="26.4">
      <c r="A16" s="31" t="s">
        <v>244</v>
      </c>
      <c r="B16" s="30">
        <v>20</v>
      </c>
      <c r="C16" s="30">
        <v>10</v>
      </c>
      <c r="D16" s="30">
        <v>50</v>
      </c>
      <c r="E16" s="30">
        <v>25</v>
      </c>
      <c r="F16" s="30">
        <v>100</v>
      </c>
      <c r="G16" s="30">
        <v>50</v>
      </c>
    </row>
    <row r="17" spans="1:7">
      <c r="A17" s="19"/>
      <c r="B17" s="19"/>
      <c r="C17" s="19"/>
      <c r="D17" s="19"/>
      <c r="E17" s="19"/>
      <c r="F17" s="19"/>
      <c r="G17" s="19"/>
    </row>
    <row r="18" spans="1:7">
      <c r="A18" s="19"/>
      <c r="B18" s="19"/>
      <c r="C18" s="19"/>
      <c r="D18" s="19"/>
      <c r="E18" s="19"/>
      <c r="F18" s="19"/>
      <c r="G18" s="19"/>
    </row>
    <row r="19" spans="1:7">
      <c r="A19" s="297" t="s">
        <v>182</v>
      </c>
      <c r="B19" s="299" t="s">
        <v>183</v>
      </c>
      <c r="C19" s="299" t="s">
        <v>184</v>
      </c>
      <c r="D19" s="19"/>
      <c r="E19" s="19"/>
      <c r="F19" s="19"/>
      <c r="G19" s="19"/>
    </row>
    <row r="20" spans="1:7" ht="28.8">
      <c r="A20" s="22" t="s">
        <v>7</v>
      </c>
      <c r="B20" s="28">
        <v>5</v>
      </c>
      <c r="C20" s="29" t="s">
        <v>185</v>
      </c>
      <c r="D20" s="19"/>
      <c r="E20" s="19"/>
      <c r="F20" s="19"/>
      <c r="G20" s="19"/>
    </row>
    <row r="21" spans="1:7" ht="28.8">
      <c r="A21" s="22" t="s">
        <v>186</v>
      </c>
      <c r="B21" s="28">
        <v>15</v>
      </c>
      <c r="C21" s="29" t="s">
        <v>185</v>
      </c>
      <c r="D21" s="19"/>
      <c r="E21" s="19"/>
      <c r="F21" s="19"/>
      <c r="G21" s="19"/>
    </row>
    <row r="22" spans="1:7">
      <c r="A22" s="22" t="s">
        <v>187</v>
      </c>
      <c r="B22" s="28">
        <v>30</v>
      </c>
      <c r="C22" s="28" t="s">
        <v>24</v>
      </c>
      <c r="D22" s="19"/>
      <c r="E22" s="19"/>
      <c r="F22" s="19"/>
      <c r="G22" s="19"/>
    </row>
    <row r="23" spans="1:7">
      <c r="A23" s="22" t="s">
        <v>188</v>
      </c>
      <c r="B23" s="28">
        <v>5</v>
      </c>
      <c r="C23" s="28" t="s">
        <v>24</v>
      </c>
      <c r="D23" s="19"/>
      <c r="E23" s="19"/>
      <c r="F23" s="19"/>
      <c r="G23" s="19"/>
    </row>
    <row r="24" spans="1:7">
      <c r="A24" s="23" t="s">
        <v>189</v>
      </c>
      <c r="B24" s="28">
        <v>20</v>
      </c>
      <c r="C24" s="28" t="s">
        <v>187</v>
      </c>
      <c r="D24" s="19"/>
      <c r="E24" s="19"/>
      <c r="F24" s="19"/>
      <c r="G24" s="19"/>
    </row>
    <row r="25" spans="1:7">
      <c r="A25" s="19"/>
      <c r="B25" s="19"/>
      <c r="C25" s="19"/>
      <c r="D25" s="19"/>
      <c r="E25" s="19"/>
      <c r="F25" s="19"/>
      <c r="G25" s="19"/>
    </row>
    <row r="26" spans="1:7">
      <c r="A26" s="297" t="s">
        <v>187</v>
      </c>
      <c r="B26" s="299" t="s">
        <v>190</v>
      </c>
      <c r="C26" s="299" t="s">
        <v>131</v>
      </c>
      <c r="D26" s="299" t="s">
        <v>64</v>
      </c>
      <c r="E26" s="299" t="s">
        <v>72</v>
      </c>
      <c r="F26" s="19"/>
      <c r="G26" s="19"/>
    </row>
    <row r="27" spans="1:7">
      <c r="A27" s="22" t="s">
        <v>75</v>
      </c>
      <c r="B27" s="26">
        <v>0.63</v>
      </c>
      <c r="C27" s="26">
        <v>1.25</v>
      </c>
      <c r="D27" s="26">
        <v>3.13</v>
      </c>
      <c r="E27" s="26">
        <v>5</v>
      </c>
      <c r="F27" s="19"/>
      <c r="G27" s="19"/>
    </row>
    <row r="28" spans="1:7">
      <c r="A28" s="22" t="s">
        <v>76</v>
      </c>
      <c r="B28" s="26">
        <v>0.625</v>
      </c>
      <c r="C28" s="26">
        <v>0.625</v>
      </c>
      <c r="D28" s="26">
        <v>1.25</v>
      </c>
      <c r="E28" s="26">
        <v>1.25</v>
      </c>
      <c r="F28" s="19"/>
      <c r="G28" s="19"/>
    </row>
    <row r="29" spans="1:7">
      <c r="A29" s="22" t="s">
        <v>142</v>
      </c>
      <c r="B29" s="26">
        <v>0.3125</v>
      </c>
      <c r="C29" s="26">
        <v>0.31</v>
      </c>
      <c r="D29" s="26">
        <v>0.63</v>
      </c>
      <c r="E29" s="26">
        <v>0.63</v>
      </c>
      <c r="F29" s="19"/>
      <c r="G29" s="19"/>
    </row>
    <row r="30" spans="1:7">
      <c r="A30" s="22" t="s">
        <v>218</v>
      </c>
      <c r="B30" s="26">
        <v>0.625</v>
      </c>
      <c r="C30" s="26">
        <v>1.88</v>
      </c>
      <c r="D30" s="26">
        <v>3.75</v>
      </c>
      <c r="E30" s="26">
        <v>7.5</v>
      </c>
      <c r="F30" s="19"/>
      <c r="G30" s="19"/>
    </row>
    <row r="31" spans="1:7">
      <c r="A31" s="25" t="s">
        <v>191</v>
      </c>
      <c r="B31" s="27">
        <f>SUM(B27:B30)</f>
        <v>2.1924999999999999</v>
      </c>
      <c r="C31" s="27">
        <f>SUM(C27:C30)</f>
        <v>4.0649999999999995</v>
      </c>
      <c r="D31" s="27">
        <f>SUM(D27:D30)</f>
        <v>8.76</v>
      </c>
      <c r="E31" s="27">
        <f>SUM(E27:E30)</f>
        <v>14.379999999999999</v>
      </c>
      <c r="F31" s="19"/>
      <c r="G31" s="19"/>
    </row>
    <row r="32" spans="1:7" ht="43.2">
      <c r="A32" s="24" t="s">
        <v>211</v>
      </c>
      <c r="B32" s="26">
        <f>SUM(B27,B29:B30)</f>
        <v>1.5674999999999999</v>
      </c>
      <c r="C32" s="26">
        <f>SUM(C27, C29:C30)</f>
        <v>3.44</v>
      </c>
      <c r="D32" s="26">
        <f>SUM(D27, D29:D30)</f>
        <v>7.51</v>
      </c>
      <c r="E32" s="26">
        <f>SUM(E27, E29:E30)</f>
        <v>13.129999999999999</v>
      </c>
      <c r="F32" s="19"/>
      <c r="G32" s="19"/>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134" zoomScaleNormal="100" workbookViewId="0">
      <selection activeCell="F150" sqref="F150"/>
    </sheetView>
  </sheetViews>
  <sheetFormatPr defaultColWidth="9.44140625" defaultRowHeight="13.2"/>
  <cols>
    <col min="1" max="1" width="62" style="93" customWidth="1"/>
    <col min="2" max="2" width="9.44140625" style="36" customWidth="1"/>
    <col min="3" max="3" width="11.44140625" style="36" customWidth="1"/>
    <col min="4" max="4" width="12.44140625" style="36" customWidth="1"/>
    <col min="5" max="5" width="13" style="36" customWidth="1"/>
    <col min="6" max="6" width="10.44140625" style="36" bestFit="1" customWidth="1"/>
    <col min="7" max="7" width="10.44140625" style="36" customWidth="1"/>
    <col min="8" max="9" width="9.44140625" style="36" bestFit="1" customWidth="1"/>
    <col min="10" max="10" width="9.44140625" style="36" customWidth="1"/>
    <col min="11" max="12" width="9.44140625" style="36"/>
    <col min="13" max="13" width="68" style="36" customWidth="1"/>
    <col min="14" max="16384" width="9.44140625" style="36"/>
  </cols>
  <sheetData>
    <row r="1" spans="1:12">
      <c r="A1" s="1" t="str">
        <f>InitialEstimate!A1</f>
        <v>Template Version:</v>
      </c>
      <c r="B1" s="311">
        <f>InitialEstimate!B1</f>
        <v>2.8</v>
      </c>
    </row>
    <row r="2" spans="1:12" ht="18" customHeight="1">
      <c r="A2" s="474" t="s">
        <v>28</v>
      </c>
      <c r="B2" s="474"/>
      <c r="C2" s="474"/>
      <c r="D2" s="474"/>
      <c r="E2" s="474"/>
      <c r="F2" s="474"/>
      <c r="G2" s="475" t="str">
        <f>InitialEstimate!F3</f>
        <v>23810 002</v>
      </c>
      <c r="H2" s="475"/>
    </row>
    <row r="3" spans="1:12" s="64" customFormat="1" ht="17.399999999999999">
      <c r="A3" s="476" t="s">
        <v>193</v>
      </c>
      <c r="B3" s="476"/>
      <c r="C3" s="476"/>
      <c r="D3" s="476"/>
      <c r="E3" s="476"/>
      <c r="F3" s="476"/>
      <c r="G3" s="476"/>
      <c r="H3" s="476"/>
      <c r="I3" s="63"/>
      <c r="J3" s="63"/>
      <c r="K3" s="63"/>
      <c r="L3" s="36"/>
    </row>
    <row r="4" spans="1:12" s="64" customFormat="1" ht="15.6">
      <c r="A4" s="268" t="s">
        <v>70</v>
      </c>
      <c r="B4" s="268" t="s">
        <v>0</v>
      </c>
      <c r="C4" s="268" t="s">
        <v>0</v>
      </c>
      <c r="D4" s="268" t="s">
        <v>0</v>
      </c>
      <c r="E4" s="268"/>
      <c r="F4" s="268" t="s">
        <v>19</v>
      </c>
      <c r="G4" s="268" t="s">
        <v>19</v>
      </c>
      <c r="H4" s="268" t="s">
        <v>19</v>
      </c>
      <c r="I4" s="65"/>
      <c r="J4" s="65"/>
      <c r="K4" s="65"/>
    </row>
    <row r="5" spans="1:12" s="64" customFormat="1">
      <c r="A5" s="66"/>
      <c r="B5" s="67" t="s">
        <v>62</v>
      </c>
      <c r="C5" s="67" t="s">
        <v>63</v>
      </c>
      <c r="D5" s="67" t="s">
        <v>64</v>
      </c>
      <c r="F5" s="67" t="s">
        <v>62</v>
      </c>
      <c r="G5" s="67" t="s">
        <v>63</v>
      </c>
      <c r="H5" s="67" t="s">
        <v>64</v>
      </c>
    </row>
    <row r="6" spans="1:12" s="64" customFormat="1">
      <c r="A6" s="66"/>
      <c r="B6" s="67"/>
      <c r="C6" s="67"/>
      <c r="D6" s="67"/>
      <c r="F6" s="67"/>
      <c r="G6" s="67"/>
      <c r="H6" s="67"/>
    </row>
    <row r="7" spans="1:12" s="64" customFormat="1">
      <c r="A7" s="68" t="s">
        <v>207</v>
      </c>
      <c r="B7" s="68"/>
      <c r="C7" s="68"/>
      <c r="D7" s="68"/>
      <c r="E7" s="68"/>
      <c r="F7" s="68"/>
      <c r="G7" s="68"/>
      <c r="H7" s="68"/>
    </row>
    <row r="8" spans="1:12" s="64" customFormat="1">
      <c r="A8" s="69" t="s">
        <v>7</v>
      </c>
      <c r="B8" s="70">
        <v>4</v>
      </c>
      <c r="C8" s="70">
        <f>CEILING(B8*3, 0.25)</f>
        <v>12</v>
      </c>
      <c r="D8" s="70">
        <f>CEILING(B8*5,0.25)</f>
        <v>20</v>
      </c>
      <c r="E8" s="70"/>
      <c r="F8" s="70">
        <f>CEILING(0.8*B8, 0.25)</f>
        <v>3.25</v>
      </c>
      <c r="G8" s="70">
        <f>CEILING(0.8*C8, 0.25)</f>
        <v>9.75</v>
      </c>
      <c r="H8" s="70">
        <f>CEILING(0.8*D8, 0.25)</f>
        <v>16</v>
      </c>
    </row>
    <row r="9" spans="1:12" s="64" customFormat="1">
      <c r="A9" s="71" t="s">
        <v>8</v>
      </c>
      <c r="B9" s="70">
        <v>6</v>
      </c>
      <c r="C9" s="70">
        <f t="shared" ref="C9:C15" si="0">CEILING(B9*3, 0.25)</f>
        <v>18</v>
      </c>
      <c r="D9" s="70">
        <f t="shared" ref="D9:D15" si="1">CEILING(B9*5,0.25)</f>
        <v>30</v>
      </c>
      <c r="E9" s="70"/>
      <c r="F9" s="70">
        <f t="shared" ref="F9:F15" si="2">CEILING(0.8*B9, 0.25)</f>
        <v>5</v>
      </c>
      <c r="G9" s="70">
        <f t="shared" ref="G9:G15" si="3">CEILING(0.8*C9, 0.25)</f>
        <v>14.5</v>
      </c>
      <c r="H9" s="70">
        <f t="shared" ref="H9:H15" si="4">CEILING(0.8*D9, 0.25)</f>
        <v>24</v>
      </c>
    </row>
    <row r="10" spans="1:12" s="64" customFormat="1">
      <c r="A10" s="69" t="s">
        <v>10</v>
      </c>
      <c r="B10" s="70">
        <v>1</v>
      </c>
      <c r="C10" s="70">
        <f t="shared" si="0"/>
        <v>3</v>
      </c>
      <c r="D10" s="70">
        <f t="shared" si="1"/>
        <v>5</v>
      </c>
      <c r="E10" s="70"/>
      <c r="F10" s="70">
        <f t="shared" si="2"/>
        <v>1</v>
      </c>
      <c r="G10" s="70">
        <f t="shared" si="3"/>
        <v>2.5</v>
      </c>
      <c r="H10" s="70">
        <f t="shared" si="4"/>
        <v>4</v>
      </c>
    </row>
    <row r="11" spans="1:12" s="64" customFormat="1">
      <c r="A11" s="69" t="s">
        <v>9</v>
      </c>
      <c r="B11" s="70">
        <v>2.5</v>
      </c>
      <c r="C11" s="70">
        <f t="shared" si="0"/>
        <v>7.5</v>
      </c>
      <c r="D11" s="70">
        <f t="shared" si="1"/>
        <v>12.5</v>
      </c>
      <c r="E11" s="70"/>
      <c r="F11" s="70">
        <f t="shared" si="2"/>
        <v>2</v>
      </c>
      <c r="G11" s="70">
        <f t="shared" si="3"/>
        <v>6</v>
      </c>
      <c r="H11" s="70">
        <f t="shared" si="4"/>
        <v>10</v>
      </c>
    </row>
    <row r="12" spans="1:12" s="64" customFormat="1">
      <c r="A12" s="69" t="s">
        <v>23</v>
      </c>
      <c r="B12" s="70">
        <v>2.5</v>
      </c>
      <c r="C12" s="70">
        <f t="shared" si="0"/>
        <v>7.5</v>
      </c>
      <c r="D12" s="70">
        <f t="shared" si="1"/>
        <v>12.5</v>
      </c>
      <c r="E12" s="70"/>
      <c r="F12" s="70">
        <f t="shared" si="2"/>
        <v>2</v>
      </c>
      <c r="G12" s="70">
        <f t="shared" si="3"/>
        <v>6</v>
      </c>
      <c r="H12" s="70">
        <f t="shared" si="4"/>
        <v>10</v>
      </c>
    </row>
    <row r="13" spans="1:12" s="64" customFormat="1">
      <c r="A13" s="69" t="s">
        <v>209</v>
      </c>
      <c r="B13" s="70">
        <v>2.5</v>
      </c>
      <c r="C13" s="70">
        <f t="shared" si="0"/>
        <v>7.5</v>
      </c>
      <c r="D13" s="70">
        <f t="shared" si="1"/>
        <v>12.5</v>
      </c>
      <c r="E13" s="70"/>
      <c r="F13" s="70">
        <f t="shared" si="2"/>
        <v>2</v>
      </c>
      <c r="G13" s="70">
        <f t="shared" si="3"/>
        <v>6</v>
      </c>
      <c r="H13" s="70">
        <f t="shared" si="4"/>
        <v>10</v>
      </c>
    </row>
    <row r="14" spans="1:12" s="64" customFormat="1">
      <c r="A14" s="69" t="s">
        <v>3</v>
      </c>
      <c r="B14" s="70">
        <v>1</v>
      </c>
      <c r="C14" s="70">
        <f t="shared" si="0"/>
        <v>3</v>
      </c>
      <c r="D14" s="70">
        <f t="shared" si="1"/>
        <v>5</v>
      </c>
      <c r="E14" s="70"/>
      <c r="F14" s="70">
        <f t="shared" si="2"/>
        <v>1</v>
      </c>
      <c r="G14" s="70">
        <f t="shared" si="3"/>
        <v>2.5</v>
      </c>
      <c r="H14" s="70">
        <f t="shared" si="4"/>
        <v>4</v>
      </c>
    </row>
    <row r="15" spans="1:12" s="64" customFormat="1" ht="13.8" thickBot="1">
      <c r="A15" s="69" t="s">
        <v>11</v>
      </c>
      <c r="B15" s="70">
        <v>0.5</v>
      </c>
      <c r="C15" s="70">
        <f t="shared" si="0"/>
        <v>1.5</v>
      </c>
      <c r="D15" s="70">
        <f t="shared" si="1"/>
        <v>2.5</v>
      </c>
      <c r="E15" s="70"/>
      <c r="F15" s="70">
        <f t="shared" si="2"/>
        <v>0.5</v>
      </c>
      <c r="G15" s="70">
        <f t="shared" si="3"/>
        <v>1.25</v>
      </c>
      <c r="H15" s="70">
        <f t="shared" si="4"/>
        <v>2</v>
      </c>
    </row>
    <row r="16" spans="1:12" s="64" customFormat="1" ht="13.8" thickTop="1">
      <c r="A16" s="66" t="s">
        <v>208</v>
      </c>
      <c r="B16" s="72">
        <f>MROUND(SUM(B8:B15),0.25)</f>
        <v>20</v>
      </c>
      <c r="C16" s="72">
        <f t="shared" ref="C16:D16" si="5">MROUND(SUM(C8:C15),0.25)</f>
        <v>60</v>
      </c>
      <c r="D16" s="72">
        <f t="shared" si="5"/>
        <v>100</v>
      </c>
      <c r="F16" s="72">
        <f>MROUND(SUM(F8:F15),0.25)</f>
        <v>16.75</v>
      </c>
      <c r="G16" s="72">
        <f t="shared" ref="G16:H16" si="6">MROUND(SUM(G8:G15),0.25)</f>
        <v>48.5</v>
      </c>
      <c r="H16" s="72">
        <f t="shared" si="6"/>
        <v>80</v>
      </c>
    </row>
    <row r="17" spans="1:11" s="64" customFormat="1">
      <c r="A17" s="66"/>
      <c r="B17" s="67"/>
      <c r="C17" s="67"/>
      <c r="D17" s="67"/>
      <c r="F17" s="67"/>
      <c r="G17" s="67"/>
      <c r="H17" s="67"/>
    </row>
    <row r="18" spans="1:11" s="64" customFormat="1">
      <c r="A18" s="66" t="s">
        <v>46</v>
      </c>
    </row>
    <row r="19" spans="1:11" s="64" customFormat="1">
      <c r="A19" s="59" t="s">
        <v>7</v>
      </c>
      <c r="B19" s="36">
        <v>4.8000000000000007</v>
      </c>
      <c r="C19" s="36">
        <f>B19*3</f>
        <v>14.400000000000002</v>
      </c>
      <c r="D19" s="36">
        <f>B19*5</f>
        <v>24.000000000000004</v>
      </c>
      <c r="E19" s="36"/>
      <c r="F19" s="36">
        <f>0.8*B19</f>
        <v>3.8400000000000007</v>
      </c>
      <c r="G19" s="36">
        <f t="shared" ref="G19:H19" si="7">0.8*C19</f>
        <v>11.520000000000003</v>
      </c>
      <c r="H19" s="36">
        <f t="shared" si="7"/>
        <v>19.200000000000003</v>
      </c>
    </row>
    <row r="20" spans="1:11" s="64" customFormat="1">
      <c r="A20" s="73" t="s">
        <v>8</v>
      </c>
      <c r="B20" s="36">
        <v>3.6</v>
      </c>
      <c r="C20" s="36">
        <f t="shared" ref="C20" si="8">B20*3</f>
        <v>10.8</v>
      </c>
      <c r="D20" s="36">
        <f t="shared" ref="D20:D26" si="9">B20*5</f>
        <v>18</v>
      </c>
      <c r="E20" s="36"/>
      <c r="F20" s="36">
        <f t="shared" ref="F20:F26" si="10">0.8*B20</f>
        <v>2.8800000000000003</v>
      </c>
      <c r="G20" s="36">
        <f t="shared" ref="G20:G26" si="11">0.8*C20</f>
        <v>8.64</v>
      </c>
      <c r="H20" s="36">
        <f t="shared" ref="H20:H26" si="12">0.8*D20</f>
        <v>14.4</v>
      </c>
    </row>
    <row r="21" spans="1:11" s="64" customFormat="1">
      <c r="A21" s="59" t="s">
        <v>10</v>
      </c>
      <c r="B21" s="36">
        <v>0.4</v>
      </c>
      <c r="C21" s="36">
        <f t="shared" ref="C21" si="13">B21*3</f>
        <v>1.2000000000000002</v>
      </c>
      <c r="D21" s="36">
        <f t="shared" si="9"/>
        <v>2</v>
      </c>
      <c r="E21" s="36"/>
      <c r="F21" s="36">
        <f t="shared" si="10"/>
        <v>0.32000000000000006</v>
      </c>
      <c r="G21" s="36">
        <f t="shared" si="11"/>
        <v>0.96000000000000019</v>
      </c>
      <c r="H21" s="36">
        <f t="shared" si="12"/>
        <v>1.6</v>
      </c>
    </row>
    <row r="22" spans="1:11" s="64" customFormat="1">
      <c r="A22" s="59" t="s">
        <v>9</v>
      </c>
      <c r="B22" s="36">
        <v>0.8</v>
      </c>
      <c r="C22" s="36">
        <f t="shared" ref="C22" si="14">B22*3</f>
        <v>2.4000000000000004</v>
      </c>
      <c r="D22" s="36">
        <f t="shared" si="9"/>
        <v>4</v>
      </c>
      <c r="E22" s="36"/>
      <c r="F22" s="36">
        <f t="shared" si="10"/>
        <v>0.64000000000000012</v>
      </c>
      <c r="G22" s="36">
        <f t="shared" si="11"/>
        <v>1.9200000000000004</v>
      </c>
      <c r="H22" s="36">
        <f t="shared" si="12"/>
        <v>3.2</v>
      </c>
    </row>
    <row r="23" spans="1:11" s="64" customFormat="1">
      <c r="A23" s="59" t="s">
        <v>23</v>
      </c>
      <c r="B23" s="36">
        <v>2</v>
      </c>
      <c r="C23" s="36">
        <f t="shared" ref="C23" si="15">B23*3</f>
        <v>6</v>
      </c>
      <c r="D23" s="36">
        <f t="shared" si="9"/>
        <v>10</v>
      </c>
      <c r="E23" s="36"/>
      <c r="F23" s="36">
        <f t="shared" si="10"/>
        <v>1.6</v>
      </c>
      <c r="G23" s="36">
        <f t="shared" si="11"/>
        <v>4.8000000000000007</v>
      </c>
      <c r="H23" s="36">
        <f t="shared" si="12"/>
        <v>8</v>
      </c>
    </row>
    <row r="24" spans="1:11" s="64" customFormat="1">
      <c r="A24" s="59" t="s">
        <v>175</v>
      </c>
      <c r="B24" s="36">
        <v>0.4</v>
      </c>
      <c r="C24" s="36">
        <f t="shared" ref="C24" si="16">B24*3</f>
        <v>1.2000000000000002</v>
      </c>
      <c r="D24" s="36">
        <f t="shared" si="9"/>
        <v>2</v>
      </c>
      <c r="E24" s="36"/>
      <c r="F24" s="36">
        <f t="shared" si="10"/>
        <v>0.32000000000000006</v>
      </c>
      <c r="G24" s="36">
        <f t="shared" si="11"/>
        <v>0.96000000000000019</v>
      </c>
      <c r="H24" s="36">
        <f t="shared" si="12"/>
        <v>1.6</v>
      </c>
    </row>
    <row r="25" spans="1:11">
      <c r="A25" s="59" t="s">
        <v>3</v>
      </c>
      <c r="B25" s="36">
        <v>0.8</v>
      </c>
      <c r="C25" s="36">
        <f t="shared" ref="C25" si="17">B25*3</f>
        <v>2.4000000000000004</v>
      </c>
      <c r="D25" s="36">
        <f t="shared" si="9"/>
        <v>4</v>
      </c>
      <c r="F25" s="36">
        <f t="shared" si="10"/>
        <v>0.64000000000000012</v>
      </c>
      <c r="G25" s="36">
        <f t="shared" si="11"/>
        <v>1.9200000000000004</v>
      </c>
      <c r="H25" s="36">
        <f t="shared" si="12"/>
        <v>3.2</v>
      </c>
      <c r="I25" s="64"/>
      <c r="J25" s="64"/>
      <c r="K25" s="64"/>
    </row>
    <row r="26" spans="1:11" ht="13.8" thickBot="1">
      <c r="A26" s="59" t="s">
        <v>11</v>
      </c>
      <c r="B26" s="36">
        <v>0.8</v>
      </c>
      <c r="C26" s="36">
        <f t="shared" ref="C26" si="18">B26*3</f>
        <v>2.4000000000000004</v>
      </c>
      <c r="D26" s="36">
        <f t="shared" si="9"/>
        <v>4</v>
      </c>
      <c r="F26" s="36">
        <f t="shared" si="10"/>
        <v>0.64000000000000012</v>
      </c>
      <c r="G26" s="36">
        <f t="shared" si="11"/>
        <v>1.9200000000000004</v>
      </c>
      <c r="H26" s="36">
        <f t="shared" si="12"/>
        <v>3.2</v>
      </c>
      <c r="I26" s="64"/>
      <c r="J26" s="64"/>
      <c r="K26" s="64"/>
    </row>
    <row r="27" spans="1:11" ht="13.8" thickTop="1">
      <c r="A27" s="74" t="s">
        <v>152</v>
      </c>
      <c r="B27" s="72">
        <f>MROUND(SUM(B19:B26),0.25)</f>
        <v>13.5</v>
      </c>
      <c r="C27" s="72">
        <f t="shared" ref="C27:D27" si="19">MROUND(SUM(C19:C26),0.25)</f>
        <v>40.75</v>
      </c>
      <c r="D27" s="72">
        <f t="shared" si="19"/>
        <v>68</v>
      </c>
      <c r="F27" s="72">
        <f>MROUND(SUM(F19:F26),0.25)</f>
        <v>11</v>
      </c>
      <c r="G27" s="72">
        <f t="shared" ref="G27:H27" si="20">MROUND(SUM(G19:G26),0.25)</f>
        <v>32.75</v>
      </c>
      <c r="H27" s="72">
        <f t="shared" si="20"/>
        <v>54.5</v>
      </c>
      <c r="I27" s="64"/>
      <c r="J27" s="64"/>
      <c r="K27" s="64"/>
    </row>
    <row r="28" spans="1:11">
      <c r="A28" s="66"/>
      <c r="B28" s="67"/>
      <c r="C28" s="67"/>
      <c r="D28" s="67"/>
      <c r="E28" s="64"/>
      <c r="F28" s="64"/>
      <c r="G28" s="64"/>
      <c r="H28" s="64"/>
      <c r="I28" s="64"/>
      <c r="J28" s="64"/>
      <c r="K28" s="64"/>
    </row>
    <row r="29" spans="1:11">
      <c r="A29" s="66" t="s">
        <v>153</v>
      </c>
      <c r="B29" s="64"/>
      <c r="C29" s="64"/>
      <c r="D29" s="64"/>
      <c r="E29" s="64"/>
      <c r="F29" s="64"/>
      <c r="G29" s="64"/>
      <c r="H29" s="64"/>
      <c r="I29" s="64"/>
      <c r="J29" s="64"/>
      <c r="K29" s="64"/>
    </row>
    <row r="30" spans="1:11">
      <c r="A30" s="59" t="s">
        <v>7</v>
      </c>
      <c r="B30" s="36">
        <v>8</v>
      </c>
      <c r="C30" s="36">
        <f>B30*2.5</f>
        <v>20</v>
      </c>
      <c r="D30" s="36">
        <f>B30*6.4</f>
        <v>51.2</v>
      </c>
      <c r="F30" s="36">
        <f>0.8*B30</f>
        <v>6.4</v>
      </c>
      <c r="G30" s="36">
        <f t="shared" ref="G30:H37" si="21">0.8*C30</f>
        <v>16</v>
      </c>
      <c r="H30" s="36">
        <f t="shared" si="21"/>
        <v>40.960000000000008</v>
      </c>
    </row>
    <row r="31" spans="1:11">
      <c r="A31" s="73" t="s">
        <v>8</v>
      </c>
      <c r="B31" s="36">
        <v>12</v>
      </c>
      <c r="C31" s="36">
        <f t="shared" ref="C31:C37" si="22">B31*2.5</f>
        <v>30</v>
      </c>
      <c r="D31" s="36">
        <f t="shared" ref="D31:D37" si="23">B31*6.4</f>
        <v>76.800000000000011</v>
      </c>
      <c r="F31" s="36">
        <f t="shared" ref="F31:F37" si="24">0.8*B31</f>
        <v>9.6000000000000014</v>
      </c>
      <c r="G31" s="36">
        <f t="shared" si="21"/>
        <v>24</v>
      </c>
      <c r="H31" s="36">
        <f t="shared" si="21"/>
        <v>61.440000000000012</v>
      </c>
    </row>
    <row r="32" spans="1:11">
      <c r="A32" s="59" t="s">
        <v>10</v>
      </c>
      <c r="B32" s="36">
        <v>1.6</v>
      </c>
      <c r="C32" s="36">
        <f t="shared" si="22"/>
        <v>4</v>
      </c>
      <c r="D32" s="36">
        <f t="shared" si="23"/>
        <v>10.240000000000002</v>
      </c>
      <c r="F32" s="36">
        <f t="shared" si="24"/>
        <v>1.2800000000000002</v>
      </c>
      <c r="G32" s="36">
        <f t="shared" si="21"/>
        <v>3.2</v>
      </c>
      <c r="H32" s="36">
        <f t="shared" si="21"/>
        <v>8.1920000000000019</v>
      </c>
    </row>
    <row r="33" spans="1:11" s="64" customFormat="1">
      <c r="A33" s="59" t="s">
        <v>9</v>
      </c>
      <c r="B33" s="36">
        <v>2.4000000000000004</v>
      </c>
      <c r="C33" s="36">
        <f t="shared" si="22"/>
        <v>6.0000000000000009</v>
      </c>
      <c r="D33" s="36">
        <f t="shared" si="23"/>
        <v>15.360000000000003</v>
      </c>
      <c r="E33" s="36"/>
      <c r="F33" s="36">
        <f>0.8*B33</f>
        <v>1.9200000000000004</v>
      </c>
      <c r="G33" s="36">
        <f>0.8*C33</f>
        <v>4.8000000000000007</v>
      </c>
      <c r="H33" s="36">
        <f>0.8*D33</f>
        <v>12.288000000000004</v>
      </c>
      <c r="I33" s="36"/>
      <c r="J33" s="36"/>
      <c r="K33" s="36"/>
    </row>
    <row r="34" spans="1:11">
      <c r="A34" s="59" t="s">
        <v>23</v>
      </c>
      <c r="B34" s="36">
        <v>6.4</v>
      </c>
      <c r="C34" s="36">
        <f t="shared" si="22"/>
        <v>16</v>
      </c>
      <c r="D34" s="36">
        <f t="shared" si="23"/>
        <v>40.960000000000008</v>
      </c>
      <c r="F34" s="36">
        <f t="shared" si="24"/>
        <v>5.120000000000001</v>
      </c>
      <c r="G34" s="36">
        <f t="shared" si="21"/>
        <v>12.8</v>
      </c>
      <c r="H34" s="36">
        <f t="shared" si="21"/>
        <v>32.768000000000008</v>
      </c>
    </row>
    <row r="35" spans="1:11">
      <c r="A35" s="59" t="s">
        <v>175</v>
      </c>
      <c r="B35" s="36">
        <v>0.8</v>
      </c>
      <c r="C35" s="36">
        <f t="shared" si="22"/>
        <v>2</v>
      </c>
      <c r="D35" s="36">
        <f t="shared" si="23"/>
        <v>5.120000000000001</v>
      </c>
      <c r="F35" s="36">
        <f>0.8*B35</f>
        <v>0.64000000000000012</v>
      </c>
      <c r="G35" s="36">
        <f>0.8*C35</f>
        <v>1.6</v>
      </c>
      <c r="H35" s="36">
        <f>0.8*D35</f>
        <v>4.096000000000001</v>
      </c>
    </row>
    <row r="36" spans="1:11">
      <c r="A36" s="59" t="s">
        <v>3</v>
      </c>
      <c r="B36" s="36">
        <v>4</v>
      </c>
      <c r="C36" s="36">
        <f t="shared" si="22"/>
        <v>10</v>
      </c>
      <c r="D36" s="36">
        <f t="shared" si="23"/>
        <v>25.6</v>
      </c>
      <c r="F36" s="36">
        <f t="shared" si="24"/>
        <v>3.2</v>
      </c>
      <c r="G36" s="36">
        <f t="shared" si="21"/>
        <v>8</v>
      </c>
      <c r="H36" s="36">
        <f t="shared" si="21"/>
        <v>20.480000000000004</v>
      </c>
    </row>
    <row r="37" spans="1:11" ht="13.8" thickBot="1">
      <c r="A37" s="59" t="s">
        <v>11</v>
      </c>
      <c r="B37" s="36">
        <v>1.6</v>
      </c>
      <c r="C37" s="36">
        <f t="shared" si="22"/>
        <v>4</v>
      </c>
      <c r="D37" s="36">
        <f t="shared" si="23"/>
        <v>10.240000000000002</v>
      </c>
      <c r="F37" s="36">
        <f t="shared" si="24"/>
        <v>1.2800000000000002</v>
      </c>
      <c r="G37" s="36">
        <f t="shared" si="21"/>
        <v>3.2</v>
      </c>
      <c r="H37" s="36">
        <f t="shared" si="21"/>
        <v>8.1920000000000019</v>
      </c>
    </row>
    <row r="38" spans="1:11" ht="13.8" thickTop="1">
      <c r="A38" s="74" t="s">
        <v>4</v>
      </c>
      <c r="B38" s="72">
        <f>MROUND(SUM(B30:B37),0.25)</f>
        <v>36.75</v>
      </c>
      <c r="C38" s="72">
        <f t="shared" ref="C38:D38" si="25">MROUND(SUM(C30:C37),0.25)</f>
        <v>92</v>
      </c>
      <c r="D38" s="72">
        <f t="shared" si="25"/>
        <v>235.5</v>
      </c>
      <c r="F38" s="72">
        <f>MROUND(SUM(F30:F37),0.25)</f>
        <v>29.5</v>
      </c>
      <c r="G38" s="72">
        <f t="shared" ref="G38:H38" si="26">MROUND(SUM(G30:G37),0.25)</f>
        <v>73.5</v>
      </c>
      <c r="H38" s="72">
        <f t="shared" si="26"/>
        <v>188.5</v>
      </c>
      <c r="K38" s="64"/>
    </row>
    <row r="40" spans="1:11">
      <c r="A40" s="66" t="s">
        <v>172</v>
      </c>
    </row>
    <row r="41" spans="1:11">
      <c r="A41" s="73" t="s">
        <v>32</v>
      </c>
      <c r="B41" s="36">
        <v>1.6</v>
      </c>
      <c r="C41" s="36">
        <v>4</v>
      </c>
      <c r="D41" s="36">
        <v>9.6000000000000014</v>
      </c>
      <c r="F41" s="36">
        <f>0.8*B41</f>
        <v>1.2800000000000002</v>
      </c>
      <c r="G41" s="36">
        <f t="shared" ref="G41:H44" si="27">0.8*C41</f>
        <v>3.2</v>
      </c>
      <c r="H41" s="36">
        <f t="shared" si="27"/>
        <v>7.6800000000000015</v>
      </c>
    </row>
    <row r="42" spans="1:11">
      <c r="A42" s="73" t="s">
        <v>33</v>
      </c>
      <c r="B42" s="36">
        <v>0.8</v>
      </c>
      <c r="C42" s="36">
        <v>2.4000000000000004</v>
      </c>
      <c r="D42" s="36">
        <v>5.6000000000000005</v>
      </c>
      <c r="F42" s="36">
        <f>0.8*B42</f>
        <v>0.64000000000000012</v>
      </c>
      <c r="G42" s="36">
        <f t="shared" si="27"/>
        <v>1.9200000000000004</v>
      </c>
      <c r="H42" s="36">
        <f t="shared" si="27"/>
        <v>4.4800000000000004</v>
      </c>
    </row>
    <row r="43" spans="1:11">
      <c r="A43" s="73" t="s">
        <v>34</v>
      </c>
      <c r="B43" s="36">
        <v>1.6</v>
      </c>
      <c r="C43" s="36">
        <v>4</v>
      </c>
      <c r="D43" s="36">
        <v>8</v>
      </c>
      <c r="F43" s="36">
        <f>0.8*B43</f>
        <v>1.2800000000000002</v>
      </c>
      <c r="G43" s="36">
        <f t="shared" si="27"/>
        <v>3.2</v>
      </c>
      <c r="H43" s="36">
        <f t="shared" si="27"/>
        <v>6.4</v>
      </c>
    </row>
    <row r="44" spans="1:11" ht="13.8" thickBot="1">
      <c r="A44" s="73" t="s">
        <v>35</v>
      </c>
      <c r="B44" s="36">
        <v>0.8</v>
      </c>
      <c r="C44" s="36">
        <v>1.6</v>
      </c>
      <c r="D44" s="36">
        <v>2.4000000000000004</v>
      </c>
      <c r="F44" s="75">
        <f>0.8*B44</f>
        <v>0.64000000000000012</v>
      </c>
      <c r="G44" s="75">
        <f t="shared" si="27"/>
        <v>1.2800000000000002</v>
      </c>
      <c r="H44" s="75">
        <f t="shared" si="27"/>
        <v>1.9200000000000004</v>
      </c>
    </row>
    <row r="45" spans="1:11" ht="13.8" thickTop="1">
      <c r="A45" s="74" t="s">
        <v>12</v>
      </c>
      <c r="B45" s="72">
        <f>MROUND(SUM(B41:B44),0.25)</f>
        <v>4.75</v>
      </c>
      <c r="C45" s="72">
        <f t="shared" ref="C45:D45" si="28">MROUND(SUM(C41:C44),0.25)</f>
        <v>12</v>
      </c>
      <c r="D45" s="72">
        <f t="shared" si="28"/>
        <v>25.5</v>
      </c>
      <c r="F45" s="64">
        <f>MROUND(SUM(F41:F44),0.25)</f>
        <v>3.75</v>
      </c>
      <c r="G45" s="64">
        <f t="shared" ref="G45:H45" si="29">MROUND(SUM(G41:G44),0.25)</f>
        <v>9.5</v>
      </c>
      <c r="H45" s="64">
        <f t="shared" si="29"/>
        <v>20.5</v>
      </c>
    </row>
    <row r="46" spans="1:11">
      <c r="A46" s="74"/>
      <c r="F46" s="11"/>
      <c r="G46" s="11"/>
      <c r="H46" s="11"/>
    </row>
    <row r="47" spans="1:11" ht="52.8">
      <c r="A47" s="66" t="s">
        <v>284</v>
      </c>
      <c r="F47" s="11"/>
      <c r="G47" s="11"/>
      <c r="H47" s="11"/>
    </row>
    <row r="48" spans="1:11">
      <c r="A48" s="73" t="s">
        <v>14</v>
      </c>
      <c r="B48" s="36">
        <v>1.6</v>
      </c>
      <c r="C48" s="36">
        <v>4</v>
      </c>
      <c r="D48" s="36">
        <v>9.6000000000000014</v>
      </c>
      <c r="F48" s="36">
        <f>0.8*B48</f>
        <v>1.2800000000000002</v>
      </c>
      <c r="G48" s="36">
        <f t="shared" ref="G48:H51" si="30">0.8*C48</f>
        <v>3.2</v>
      </c>
      <c r="H48" s="36">
        <f t="shared" si="30"/>
        <v>7.6800000000000015</v>
      </c>
    </row>
    <row r="49" spans="1:11">
      <c r="A49" s="73" t="s">
        <v>15</v>
      </c>
      <c r="B49" s="36">
        <v>0.8</v>
      </c>
      <c r="C49" s="36">
        <v>2</v>
      </c>
      <c r="D49" s="36">
        <v>4.8000000000000007</v>
      </c>
      <c r="F49" s="36">
        <f>0.8*B49</f>
        <v>0.64000000000000012</v>
      </c>
      <c r="G49" s="36">
        <f t="shared" si="30"/>
        <v>1.6</v>
      </c>
      <c r="H49" s="36">
        <f t="shared" si="30"/>
        <v>3.8400000000000007</v>
      </c>
    </row>
    <row r="50" spans="1:11">
      <c r="A50" s="73" t="s">
        <v>16</v>
      </c>
      <c r="B50" s="36">
        <v>0.8</v>
      </c>
      <c r="C50" s="36">
        <v>2</v>
      </c>
      <c r="D50" s="36">
        <v>4.8000000000000007</v>
      </c>
      <c r="F50" s="36">
        <f>0.8*B50</f>
        <v>0.64000000000000012</v>
      </c>
      <c r="G50" s="36">
        <f t="shared" si="30"/>
        <v>1.6</v>
      </c>
      <c r="H50" s="36">
        <f t="shared" si="30"/>
        <v>3.8400000000000007</v>
      </c>
    </row>
    <row r="51" spans="1:11" ht="13.8" thickBot="1">
      <c r="A51" s="73" t="s">
        <v>17</v>
      </c>
      <c r="B51" s="75">
        <v>0.8</v>
      </c>
      <c r="C51" s="75">
        <v>1.6</v>
      </c>
      <c r="D51" s="75">
        <v>2.4000000000000004</v>
      </c>
      <c r="F51" s="75">
        <f>0.8*B51</f>
        <v>0.64000000000000012</v>
      </c>
      <c r="G51" s="75">
        <f t="shared" si="30"/>
        <v>1.2800000000000002</v>
      </c>
      <c r="H51" s="75">
        <f t="shared" si="30"/>
        <v>1.9200000000000004</v>
      </c>
    </row>
    <row r="52" spans="1:11" ht="13.8" thickTop="1">
      <c r="A52" s="74" t="s">
        <v>13</v>
      </c>
      <c r="B52" s="64">
        <f>MROUND(SUM(B48:B51),0.25)</f>
        <v>4</v>
      </c>
      <c r="C52" s="64">
        <f t="shared" ref="C52:D52" si="31">MROUND(SUM(C48:C51),0.25)</f>
        <v>9.5</v>
      </c>
      <c r="D52" s="64">
        <f t="shared" si="31"/>
        <v>21.5</v>
      </c>
      <c r="F52" s="64">
        <f>MROUND(SUM(F48:F51),0.25)</f>
        <v>3.25</v>
      </c>
      <c r="G52" s="64">
        <f t="shared" ref="G52:H52" si="32">MROUND(SUM(G48:G51),0.25)</f>
        <v>7.75</v>
      </c>
      <c r="H52" s="64">
        <f t="shared" si="32"/>
        <v>17.25</v>
      </c>
    </row>
    <row r="53" spans="1:11">
      <c r="A53" s="74"/>
      <c r="F53" s="11"/>
      <c r="G53" s="11"/>
      <c r="H53" s="11"/>
    </row>
    <row r="54" spans="1:11">
      <c r="A54" s="76" t="s">
        <v>37</v>
      </c>
      <c r="F54" s="11"/>
      <c r="G54" s="11"/>
      <c r="H54" s="11"/>
    </row>
    <row r="55" spans="1:11">
      <c r="A55" s="59" t="s">
        <v>39</v>
      </c>
      <c r="B55" s="36">
        <v>0.5</v>
      </c>
      <c r="E55" s="77" t="s">
        <v>78</v>
      </c>
      <c r="F55" s="11"/>
      <c r="G55" s="11"/>
      <c r="H55" s="78" t="s">
        <v>27</v>
      </c>
    </row>
    <row r="56" spans="1:11">
      <c r="A56" s="59" t="s">
        <v>40</v>
      </c>
      <c r="B56" s="36">
        <v>1</v>
      </c>
      <c r="E56" s="62" t="s">
        <v>24</v>
      </c>
      <c r="F56" s="11"/>
      <c r="G56" s="11"/>
      <c r="H56" s="79">
        <v>0.74</v>
      </c>
    </row>
    <row r="57" spans="1:11">
      <c r="A57" s="59" t="s">
        <v>41</v>
      </c>
      <c r="B57" s="36">
        <v>3.5</v>
      </c>
      <c r="E57" s="62" t="s">
        <v>29</v>
      </c>
      <c r="F57" s="11"/>
      <c r="G57" s="11"/>
      <c r="H57" s="79">
        <v>0.1</v>
      </c>
    </row>
    <row r="58" spans="1:11">
      <c r="A58" s="59" t="s">
        <v>42</v>
      </c>
      <c r="B58" s="36">
        <v>0.5</v>
      </c>
      <c r="E58" s="62" t="s">
        <v>25</v>
      </c>
      <c r="F58" s="11"/>
      <c r="G58" s="11"/>
      <c r="H58" s="79">
        <v>0.13</v>
      </c>
    </row>
    <row r="59" spans="1:11" s="65" customFormat="1">
      <c r="A59" s="59" t="s">
        <v>45</v>
      </c>
      <c r="B59" s="36">
        <v>0.5</v>
      </c>
      <c r="C59" s="36"/>
      <c r="D59" s="36"/>
      <c r="E59" s="62" t="s">
        <v>26</v>
      </c>
      <c r="F59" s="11"/>
      <c r="G59" s="11"/>
      <c r="H59" s="79">
        <v>0.03</v>
      </c>
      <c r="I59" s="36"/>
      <c r="J59" s="36"/>
      <c r="K59" s="36"/>
    </row>
    <row r="60" spans="1:11" ht="13.8" thickBot="1">
      <c r="A60" s="59" t="s">
        <v>43</v>
      </c>
      <c r="B60" s="80">
        <v>0.5</v>
      </c>
      <c r="E60" s="77"/>
      <c r="F60" s="11"/>
      <c r="G60" s="11"/>
    </row>
    <row r="61" spans="1:11" ht="13.8" thickTop="1">
      <c r="A61" s="74" t="s">
        <v>44</v>
      </c>
      <c r="B61" s="64">
        <f>MROUND(SUM(B55:B60),0.25)</f>
        <v>6.5</v>
      </c>
      <c r="E61" s="77"/>
      <c r="F61" s="11"/>
      <c r="G61" s="11"/>
    </row>
    <row r="62" spans="1:11">
      <c r="A62" s="74"/>
      <c r="B62" s="64"/>
      <c r="E62" s="62"/>
      <c r="F62" s="11"/>
      <c r="G62" s="11"/>
      <c r="H62" s="79"/>
    </row>
    <row r="63" spans="1:11">
      <c r="A63" s="66" t="s">
        <v>192</v>
      </c>
      <c r="B63" s="64"/>
      <c r="C63" s="64"/>
      <c r="D63" s="64"/>
      <c r="E63" s="64"/>
      <c r="F63" s="64"/>
      <c r="G63" s="64"/>
      <c r="H63" s="64"/>
    </row>
    <row r="64" spans="1:11">
      <c r="A64" s="59" t="s">
        <v>7</v>
      </c>
      <c r="B64" s="36">
        <v>3.52</v>
      </c>
      <c r="C64" s="36">
        <f>B64*3</f>
        <v>10.56</v>
      </c>
      <c r="D64" s="36">
        <f>B64*4.5</f>
        <v>15.84</v>
      </c>
      <c r="F64" s="36">
        <f>0.8*B64</f>
        <v>2.8160000000000003</v>
      </c>
      <c r="G64" s="36">
        <f t="shared" ref="G64:G66" si="33">0.8*C64</f>
        <v>8.4480000000000004</v>
      </c>
      <c r="H64" s="36">
        <f>0.83*D64</f>
        <v>13.1472</v>
      </c>
    </row>
    <row r="65" spans="1:11">
      <c r="A65" s="73" t="s">
        <v>8</v>
      </c>
      <c r="B65" s="36">
        <v>5.28</v>
      </c>
      <c r="C65" s="36">
        <f t="shared" ref="C65:C71" si="34">B65*3</f>
        <v>15.84</v>
      </c>
      <c r="D65" s="36">
        <f t="shared" ref="D65:D71" si="35">B65*4.5</f>
        <v>23.76</v>
      </c>
      <c r="F65" s="36">
        <f t="shared" ref="F65:F66" si="36">0.8*B65</f>
        <v>4.2240000000000002</v>
      </c>
      <c r="G65" s="36">
        <f t="shared" si="33"/>
        <v>12.672000000000001</v>
      </c>
      <c r="H65" s="36">
        <f t="shared" ref="H65:H71" si="37">0.83*D65</f>
        <v>19.720800000000001</v>
      </c>
      <c r="I65" s="65"/>
      <c r="J65" s="65"/>
      <c r="K65" s="65"/>
    </row>
    <row r="66" spans="1:11" s="81" customFormat="1">
      <c r="A66" s="59" t="s">
        <v>10</v>
      </c>
      <c r="B66" s="36">
        <v>0.64</v>
      </c>
      <c r="C66" s="36">
        <f t="shared" si="34"/>
        <v>1.92</v>
      </c>
      <c r="D66" s="36">
        <f t="shared" si="35"/>
        <v>2.88</v>
      </c>
      <c r="E66" s="36"/>
      <c r="F66" s="36">
        <f t="shared" si="36"/>
        <v>0.51200000000000001</v>
      </c>
      <c r="G66" s="36">
        <f t="shared" si="33"/>
        <v>1.536</v>
      </c>
      <c r="H66" s="36">
        <f t="shared" si="37"/>
        <v>2.3903999999999996</v>
      </c>
      <c r="I66" s="36"/>
      <c r="J66" s="36"/>
      <c r="K66" s="36"/>
    </row>
    <row r="67" spans="1:11">
      <c r="A67" s="59" t="s">
        <v>9</v>
      </c>
      <c r="B67" s="36">
        <v>1.1200000000000001</v>
      </c>
      <c r="C67" s="36">
        <f t="shared" si="34"/>
        <v>3.3600000000000003</v>
      </c>
      <c r="D67" s="36">
        <f t="shared" si="35"/>
        <v>5.0400000000000009</v>
      </c>
      <c r="F67" s="36">
        <f>0.8*B67</f>
        <v>0.89600000000000013</v>
      </c>
      <c r="G67" s="36">
        <f>0.8*C67</f>
        <v>2.6880000000000006</v>
      </c>
      <c r="H67" s="36">
        <f t="shared" si="37"/>
        <v>4.1832000000000003</v>
      </c>
    </row>
    <row r="68" spans="1:11">
      <c r="A68" s="59" t="s">
        <v>23</v>
      </c>
      <c r="B68" s="36">
        <v>2.72</v>
      </c>
      <c r="C68" s="36">
        <f t="shared" si="34"/>
        <v>8.16</v>
      </c>
      <c r="D68" s="36">
        <f t="shared" si="35"/>
        <v>12.24</v>
      </c>
      <c r="F68" s="36">
        <f t="shared" ref="F68" si="38">0.8*B68</f>
        <v>2.1760000000000002</v>
      </c>
      <c r="G68" s="36">
        <f t="shared" ref="G68" si="39">0.8*C68</f>
        <v>6.5280000000000005</v>
      </c>
      <c r="H68" s="36">
        <f t="shared" si="37"/>
        <v>10.1592</v>
      </c>
    </row>
    <row r="69" spans="1:11">
      <c r="A69" s="59" t="s">
        <v>175</v>
      </c>
      <c r="B69" s="36">
        <v>0.32</v>
      </c>
      <c r="C69" s="36">
        <f t="shared" si="34"/>
        <v>0.96</v>
      </c>
      <c r="D69" s="36">
        <f t="shared" si="35"/>
        <v>1.44</v>
      </c>
      <c r="F69" s="36">
        <f>0.8*B69</f>
        <v>0.25600000000000001</v>
      </c>
      <c r="G69" s="36">
        <f>0.8*C69</f>
        <v>0.76800000000000002</v>
      </c>
      <c r="H69" s="36">
        <f t="shared" si="37"/>
        <v>1.1951999999999998</v>
      </c>
    </row>
    <row r="70" spans="1:11">
      <c r="A70" s="59" t="s">
        <v>3</v>
      </c>
      <c r="B70" s="36">
        <v>1.76</v>
      </c>
      <c r="C70" s="36">
        <f t="shared" si="34"/>
        <v>5.28</v>
      </c>
      <c r="D70" s="36">
        <f t="shared" si="35"/>
        <v>7.92</v>
      </c>
      <c r="F70" s="36">
        <f t="shared" ref="F70:F71" si="40">0.8*B70</f>
        <v>1.4080000000000001</v>
      </c>
      <c r="G70" s="36">
        <f t="shared" ref="G70:G71" si="41">0.8*C70</f>
        <v>4.2240000000000002</v>
      </c>
      <c r="H70" s="36">
        <f t="shared" si="37"/>
        <v>6.5735999999999999</v>
      </c>
    </row>
    <row r="71" spans="1:11" ht="13.8" thickBot="1">
      <c r="A71" s="59" t="s">
        <v>11</v>
      </c>
      <c r="B71" s="36">
        <v>0.64</v>
      </c>
      <c r="C71" s="36">
        <f t="shared" si="34"/>
        <v>1.92</v>
      </c>
      <c r="D71" s="36">
        <f t="shared" si="35"/>
        <v>2.88</v>
      </c>
      <c r="F71" s="36">
        <f t="shared" si="40"/>
        <v>0.51200000000000001</v>
      </c>
      <c r="G71" s="36">
        <f t="shared" si="41"/>
        <v>1.536</v>
      </c>
      <c r="H71" s="36">
        <f t="shared" si="37"/>
        <v>2.3903999999999996</v>
      </c>
    </row>
    <row r="72" spans="1:11" ht="13.8" thickTop="1">
      <c r="A72" s="74" t="s">
        <v>156</v>
      </c>
      <c r="B72" s="72">
        <f>MROUND(SUM(B64:B71),0.25)</f>
        <v>16</v>
      </c>
      <c r="C72" s="72">
        <f t="shared" ref="C72:D72" si="42">MROUND(SUM(C64:C71),0.25)</f>
        <v>48</v>
      </c>
      <c r="D72" s="72">
        <f t="shared" si="42"/>
        <v>72</v>
      </c>
      <c r="F72" s="72">
        <f>MROUND(SUM(F64:F71),0.25)</f>
        <v>12.75</v>
      </c>
      <c r="G72" s="72">
        <f t="shared" ref="G72:H72" si="43">MROUND(SUM(G64:G71),0.25)</f>
        <v>38.5</v>
      </c>
      <c r="H72" s="72">
        <f t="shared" si="43"/>
        <v>59.75</v>
      </c>
    </row>
    <row r="73" spans="1:11">
      <c r="A73" s="74"/>
      <c r="B73" s="64"/>
      <c r="E73" s="62"/>
      <c r="F73" s="11"/>
      <c r="G73" s="11"/>
      <c r="H73" s="79"/>
    </row>
    <row r="74" spans="1:11">
      <c r="A74" s="66" t="s">
        <v>154</v>
      </c>
      <c r="B74" s="64"/>
      <c r="C74" s="64"/>
      <c r="D74" s="64"/>
      <c r="E74" s="64"/>
      <c r="F74" s="64"/>
      <c r="G74" s="64"/>
      <c r="H74" s="64"/>
    </row>
    <row r="75" spans="1:11">
      <c r="A75" s="59" t="s">
        <v>7</v>
      </c>
      <c r="B75" s="36">
        <v>8.8000000000000007</v>
      </c>
      <c r="C75" s="36">
        <f>B75*2</f>
        <v>17.600000000000001</v>
      </c>
      <c r="D75" s="36">
        <f>B75*4</f>
        <v>35.200000000000003</v>
      </c>
      <c r="F75" s="36">
        <f>0.7*B75</f>
        <v>6.16</v>
      </c>
      <c r="G75" s="36">
        <f t="shared" ref="G75:G77" si="44">0.8*C75</f>
        <v>14.080000000000002</v>
      </c>
      <c r="H75" s="36">
        <f>0.75*D75</f>
        <v>26.400000000000002</v>
      </c>
    </row>
    <row r="76" spans="1:11">
      <c r="A76" s="73" t="s">
        <v>8</v>
      </c>
      <c r="B76" s="36">
        <v>13.2</v>
      </c>
      <c r="C76" s="36">
        <f t="shared" ref="C76:C82" si="45">B76*2</f>
        <v>26.4</v>
      </c>
      <c r="D76" s="36">
        <f t="shared" ref="D76:D82" si="46">B76*4</f>
        <v>52.8</v>
      </c>
      <c r="F76" s="36">
        <f t="shared" ref="F76:F82" si="47">0.7*B76</f>
        <v>9.2399999999999984</v>
      </c>
      <c r="G76" s="36">
        <f t="shared" si="44"/>
        <v>21.12</v>
      </c>
      <c r="H76" s="36">
        <f t="shared" ref="H76:H82" si="48">0.75*D76</f>
        <v>39.599999999999994</v>
      </c>
    </row>
    <row r="77" spans="1:11">
      <c r="A77" s="59" t="s">
        <v>10</v>
      </c>
      <c r="B77" s="36">
        <v>1.6</v>
      </c>
      <c r="C77" s="36">
        <f t="shared" si="45"/>
        <v>3.2</v>
      </c>
      <c r="D77" s="36">
        <f t="shared" si="46"/>
        <v>6.4</v>
      </c>
      <c r="F77" s="36">
        <f t="shared" si="47"/>
        <v>1.1199999999999999</v>
      </c>
      <c r="G77" s="36">
        <f t="shared" si="44"/>
        <v>2.5600000000000005</v>
      </c>
      <c r="H77" s="36">
        <f t="shared" si="48"/>
        <v>4.8000000000000007</v>
      </c>
    </row>
    <row r="78" spans="1:11">
      <c r="A78" s="59" t="s">
        <v>9</v>
      </c>
      <c r="B78" s="36">
        <v>2.8</v>
      </c>
      <c r="C78" s="36">
        <f t="shared" si="45"/>
        <v>5.6</v>
      </c>
      <c r="D78" s="36">
        <f t="shared" si="46"/>
        <v>11.2</v>
      </c>
      <c r="F78" s="36">
        <f t="shared" si="47"/>
        <v>1.9599999999999997</v>
      </c>
      <c r="G78" s="36">
        <f>0.8*C78</f>
        <v>4.4799999999999995</v>
      </c>
      <c r="H78" s="36">
        <f t="shared" si="48"/>
        <v>8.3999999999999986</v>
      </c>
    </row>
    <row r="79" spans="1:11">
      <c r="A79" s="59" t="s">
        <v>23</v>
      </c>
      <c r="B79" s="36">
        <v>6.8</v>
      </c>
      <c r="C79" s="36">
        <f t="shared" si="45"/>
        <v>13.6</v>
      </c>
      <c r="D79" s="36">
        <f t="shared" si="46"/>
        <v>27.2</v>
      </c>
      <c r="F79" s="36">
        <f t="shared" si="47"/>
        <v>4.76</v>
      </c>
      <c r="G79" s="36">
        <f t="shared" ref="G79" si="49">0.8*C79</f>
        <v>10.88</v>
      </c>
      <c r="H79" s="36">
        <f t="shared" si="48"/>
        <v>20.399999999999999</v>
      </c>
    </row>
    <row r="80" spans="1:11">
      <c r="A80" s="59" t="s">
        <v>175</v>
      </c>
      <c r="B80" s="36">
        <v>0.8</v>
      </c>
      <c r="C80" s="36">
        <f t="shared" si="45"/>
        <v>1.6</v>
      </c>
      <c r="D80" s="36">
        <f t="shared" si="46"/>
        <v>3.2</v>
      </c>
      <c r="F80" s="36">
        <f t="shared" si="47"/>
        <v>0.55999999999999994</v>
      </c>
      <c r="G80" s="36">
        <f>0.8*C80</f>
        <v>1.2800000000000002</v>
      </c>
      <c r="H80" s="36">
        <f t="shared" si="48"/>
        <v>2.4000000000000004</v>
      </c>
      <c r="I80" s="81"/>
      <c r="J80" s="81"/>
      <c r="K80" s="81"/>
    </row>
    <row r="81" spans="1:8">
      <c r="A81" s="59" t="s">
        <v>3</v>
      </c>
      <c r="B81" s="36">
        <v>4.4000000000000004</v>
      </c>
      <c r="C81" s="36">
        <f t="shared" si="45"/>
        <v>8.8000000000000007</v>
      </c>
      <c r="D81" s="36">
        <f t="shared" si="46"/>
        <v>17.600000000000001</v>
      </c>
      <c r="F81" s="36">
        <f t="shared" si="47"/>
        <v>3.08</v>
      </c>
      <c r="G81" s="36">
        <f t="shared" ref="G81:G82" si="50">0.8*C81</f>
        <v>7.0400000000000009</v>
      </c>
      <c r="H81" s="36">
        <f t="shared" si="48"/>
        <v>13.200000000000001</v>
      </c>
    </row>
    <row r="82" spans="1:8" ht="13.8" thickBot="1">
      <c r="A82" s="59" t="s">
        <v>11</v>
      </c>
      <c r="B82" s="36">
        <v>1.6</v>
      </c>
      <c r="C82" s="36">
        <f t="shared" si="45"/>
        <v>3.2</v>
      </c>
      <c r="D82" s="36">
        <f t="shared" si="46"/>
        <v>6.4</v>
      </c>
      <c r="F82" s="36">
        <f t="shared" si="47"/>
        <v>1.1199999999999999</v>
      </c>
      <c r="G82" s="36">
        <f t="shared" si="50"/>
        <v>2.5600000000000005</v>
      </c>
      <c r="H82" s="36">
        <f t="shared" si="48"/>
        <v>4.8000000000000007</v>
      </c>
    </row>
    <row r="83" spans="1:8" ht="13.8" thickTop="1">
      <c r="A83" s="74" t="s">
        <v>155</v>
      </c>
      <c r="B83" s="72">
        <f>MROUND(SUM(B75:B82),0.25)</f>
        <v>40</v>
      </c>
      <c r="C83" s="72">
        <f t="shared" ref="C83:D83" si="51">MROUND(SUM(C75:C82),0.25)</f>
        <v>80</v>
      </c>
      <c r="D83" s="72">
        <f t="shared" si="51"/>
        <v>160</v>
      </c>
      <c r="F83" s="72">
        <f>MROUND(SUM(F75:F82),0.25)</f>
        <v>28</v>
      </c>
      <c r="G83" s="72">
        <f t="shared" ref="G83:H83" si="52">MROUND(SUM(G75:G82),0.25)</f>
        <v>64</v>
      </c>
      <c r="H83" s="72">
        <f t="shared" si="52"/>
        <v>120</v>
      </c>
    </row>
    <row r="84" spans="1:8">
      <c r="A84" s="74"/>
      <c r="B84" s="82"/>
      <c r="C84" s="82"/>
      <c r="D84" s="82"/>
      <c r="F84" s="82"/>
      <c r="G84" s="82"/>
      <c r="H84" s="82"/>
    </row>
    <row r="85" spans="1:8">
      <c r="A85" s="66" t="s">
        <v>157</v>
      </c>
      <c r="B85" s="64"/>
      <c r="C85" s="64"/>
      <c r="D85" s="64"/>
      <c r="E85" s="64"/>
      <c r="F85" s="64"/>
      <c r="G85" s="64"/>
      <c r="H85" s="64"/>
    </row>
    <row r="86" spans="1:8">
      <c r="A86" s="59" t="s">
        <v>7</v>
      </c>
      <c r="B86" s="36">
        <v>2.64</v>
      </c>
      <c r="C86" s="36">
        <f>B86*3.3</f>
        <v>8.7119999999999997</v>
      </c>
      <c r="D86" s="36">
        <f>B86*6</f>
        <v>15.84</v>
      </c>
      <c r="F86" s="36">
        <f>0.67*B86</f>
        <v>1.7688000000000001</v>
      </c>
      <c r="G86" s="36">
        <f>0.7*C86</f>
        <v>6.0983999999999998</v>
      </c>
      <c r="H86" s="36">
        <f>0.83*D86</f>
        <v>13.1472</v>
      </c>
    </row>
    <row r="87" spans="1:8">
      <c r="A87" s="73" t="s">
        <v>8</v>
      </c>
      <c r="B87" s="36">
        <v>3.96</v>
      </c>
      <c r="C87" s="36">
        <f t="shared" ref="C87:C93" si="53">B87*3.3</f>
        <v>13.068</v>
      </c>
      <c r="D87" s="36">
        <f t="shared" ref="D87:D93" si="54">B87*6</f>
        <v>23.759999999999998</v>
      </c>
      <c r="F87" s="36">
        <f t="shared" ref="F87:F93" si="55">0.67*B87</f>
        <v>2.6532</v>
      </c>
      <c r="G87" s="36">
        <f t="shared" ref="G87:G93" si="56">0.7*C87</f>
        <v>9.1475999999999988</v>
      </c>
      <c r="H87" s="36">
        <f t="shared" ref="H87:H93" si="57">0.83*D87</f>
        <v>19.720799999999997</v>
      </c>
    </row>
    <row r="88" spans="1:8">
      <c r="A88" s="59" t="s">
        <v>10</v>
      </c>
      <c r="B88" s="36">
        <v>0.48</v>
      </c>
      <c r="C88" s="36">
        <f t="shared" si="53"/>
        <v>1.5839999999999999</v>
      </c>
      <c r="D88" s="36">
        <f t="shared" si="54"/>
        <v>2.88</v>
      </c>
      <c r="F88" s="36">
        <f t="shared" si="55"/>
        <v>0.3216</v>
      </c>
      <c r="G88" s="36">
        <f t="shared" si="56"/>
        <v>1.1087999999999998</v>
      </c>
      <c r="H88" s="36">
        <f t="shared" si="57"/>
        <v>2.3903999999999996</v>
      </c>
    </row>
    <row r="89" spans="1:8">
      <c r="A89" s="59" t="s">
        <v>9</v>
      </c>
      <c r="B89" s="36">
        <v>0.84</v>
      </c>
      <c r="C89" s="36">
        <f t="shared" si="53"/>
        <v>2.7719999999999998</v>
      </c>
      <c r="D89" s="36">
        <f t="shared" si="54"/>
        <v>5.04</v>
      </c>
      <c r="F89" s="36">
        <f t="shared" si="55"/>
        <v>0.56279999999999997</v>
      </c>
      <c r="G89" s="36">
        <f t="shared" si="56"/>
        <v>1.9403999999999997</v>
      </c>
      <c r="H89" s="36">
        <f t="shared" si="57"/>
        <v>4.1832000000000003</v>
      </c>
    </row>
    <row r="90" spans="1:8">
      <c r="A90" s="59" t="s">
        <v>23</v>
      </c>
      <c r="B90" s="36">
        <v>2.04</v>
      </c>
      <c r="C90" s="36">
        <f t="shared" si="53"/>
        <v>6.7319999999999993</v>
      </c>
      <c r="D90" s="36">
        <f t="shared" si="54"/>
        <v>12.24</v>
      </c>
      <c r="F90" s="36">
        <f t="shared" si="55"/>
        <v>1.3668</v>
      </c>
      <c r="G90" s="36">
        <f t="shared" si="56"/>
        <v>4.7123999999999988</v>
      </c>
      <c r="H90" s="36">
        <f t="shared" si="57"/>
        <v>10.1592</v>
      </c>
    </row>
    <row r="91" spans="1:8">
      <c r="A91" s="59" t="s">
        <v>175</v>
      </c>
      <c r="B91" s="36">
        <v>0.24</v>
      </c>
      <c r="C91" s="36">
        <f t="shared" si="53"/>
        <v>0.79199999999999993</v>
      </c>
      <c r="D91" s="36">
        <f t="shared" si="54"/>
        <v>1.44</v>
      </c>
      <c r="F91" s="36">
        <f t="shared" si="55"/>
        <v>0.1608</v>
      </c>
      <c r="G91" s="36">
        <f t="shared" si="56"/>
        <v>0.55439999999999989</v>
      </c>
      <c r="H91" s="36">
        <f t="shared" si="57"/>
        <v>1.1951999999999998</v>
      </c>
    </row>
    <row r="92" spans="1:8">
      <c r="A92" s="59" t="s">
        <v>3</v>
      </c>
      <c r="B92" s="36">
        <v>1.32</v>
      </c>
      <c r="C92" s="36">
        <f t="shared" si="53"/>
        <v>4.3559999999999999</v>
      </c>
      <c r="D92" s="36">
        <f t="shared" si="54"/>
        <v>7.92</v>
      </c>
      <c r="F92" s="36">
        <f t="shared" si="55"/>
        <v>0.88440000000000007</v>
      </c>
      <c r="G92" s="36">
        <f t="shared" si="56"/>
        <v>3.0491999999999999</v>
      </c>
      <c r="H92" s="36">
        <f t="shared" si="57"/>
        <v>6.5735999999999999</v>
      </c>
    </row>
    <row r="93" spans="1:8" ht="13.8" thickBot="1">
      <c r="A93" s="59" t="s">
        <v>11</v>
      </c>
      <c r="B93" s="36">
        <v>0.48</v>
      </c>
      <c r="C93" s="36">
        <f t="shared" si="53"/>
        <v>1.5839999999999999</v>
      </c>
      <c r="D93" s="36">
        <f t="shared" si="54"/>
        <v>2.88</v>
      </c>
      <c r="F93" s="36">
        <f t="shared" si="55"/>
        <v>0.3216</v>
      </c>
      <c r="G93" s="36">
        <f t="shared" si="56"/>
        <v>1.1087999999999998</v>
      </c>
      <c r="H93" s="36">
        <f t="shared" si="57"/>
        <v>2.3903999999999996</v>
      </c>
    </row>
    <row r="94" spans="1:8" ht="13.8" thickTop="1">
      <c r="A94" s="74" t="s">
        <v>158</v>
      </c>
      <c r="B94" s="72">
        <f>MROUND(SUM(B86:B93),0.25)</f>
        <v>12</v>
      </c>
      <c r="C94" s="72">
        <f t="shared" ref="C94:D94" si="58">MROUND(SUM(C86:C93),0.25)</f>
        <v>39.5</v>
      </c>
      <c r="D94" s="72">
        <f t="shared" si="58"/>
        <v>72</v>
      </c>
      <c r="F94" s="72">
        <f>MROUND(SUM(F86:F93),0.25)</f>
        <v>8</v>
      </c>
      <c r="G94" s="72">
        <f t="shared" ref="G94:H94" si="59">MROUND(SUM(G86:G93),0.25)</f>
        <v>27.75</v>
      </c>
      <c r="H94" s="72">
        <f t="shared" si="59"/>
        <v>59.75</v>
      </c>
    </row>
    <row r="95" spans="1:8">
      <c r="A95" s="74"/>
      <c r="B95" s="82"/>
      <c r="C95" s="82"/>
      <c r="D95" s="82"/>
      <c r="F95" s="82"/>
      <c r="G95" s="82"/>
      <c r="H95" s="82"/>
    </row>
    <row r="96" spans="1:8">
      <c r="A96" s="74"/>
      <c r="B96" s="82"/>
      <c r="C96" s="82"/>
      <c r="D96" s="82"/>
      <c r="F96" s="82"/>
      <c r="G96" s="82"/>
      <c r="H96" s="82"/>
    </row>
    <row r="97" spans="1:11">
      <c r="A97" s="66" t="s">
        <v>181</v>
      </c>
      <c r="B97" s="64"/>
      <c r="C97" s="64"/>
      <c r="D97" s="64"/>
      <c r="E97" s="64"/>
      <c r="F97" s="64"/>
      <c r="G97" s="64"/>
      <c r="H97" s="64"/>
    </row>
    <row r="98" spans="1:11">
      <c r="A98" s="59" t="s">
        <v>7</v>
      </c>
      <c r="B98" s="36">
        <v>0.6</v>
      </c>
      <c r="C98" s="36">
        <f>B98*1.67</f>
        <v>1.002</v>
      </c>
      <c r="D98" s="36">
        <f>B98*2.67</f>
        <v>1.6019999999999999</v>
      </c>
      <c r="F98" s="36">
        <f>0.34*B98</f>
        <v>0.20400000000000001</v>
      </c>
      <c r="G98" s="36">
        <f>0.5*C98</f>
        <v>0.501</v>
      </c>
      <c r="H98" s="36">
        <f>0.63*D98</f>
        <v>1.0092599999999998</v>
      </c>
    </row>
    <row r="99" spans="1:11" s="81" customFormat="1">
      <c r="A99" s="59" t="s">
        <v>23</v>
      </c>
      <c r="B99" s="36">
        <v>1.5</v>
      </c>
      <c r="C99" s="36">
        <f t="shared" ref="C99:C100" si="60">B99*1.67</f>
        <v>2.5049999999999999</v>
      </c>
      <c r="D99" s="36">
        <f t="shared" ref="D99:D100" si="61">B99*2.67</f>
        <v>4.0049999999999999</v>
      </c>
      <c r="E99" s="36"/>
      <c r="F99" s="36">
        <f t="shared" ref="F99:F100" si="62">0.34*B99</f>
        <v>0.51</v>
      </c>
      <c r="G99" s="36">
        <f t="shared" ref="G99:G100" si="63">0.5*C99</f>
        <v>1.2524999999999999</v>
      </c>
      <c r="H99" s="36">
        <f t="shared" ref="H99:H100" si="64">0.63*D99</f>
        <v>2.5231499999999998</v>
      </c>
      <c r="I99" s="36"/>
      <c r="J99" s="36"/>
      <c r="K99" s="36"/>
    </row>
    <row r="100" spans="1:11" ht="13.8" thickBot="1">
      <c r="A100" s="59" t="s">
        <v>160</v>
      </c>
      <c r="B100" s="36">
        <v>0.9</v>
      </c>
      <c r="C100" s="36">
        <f t="shared" si="60"/>
        <v>1.5029999999999999</v>
      </c>
      <c r="D100" s="36">
        <f t="shared" si="61"/>
        <v>2.403</v>
      </c>
      <c r="F100" s="36">
        <f t="shared" si="62"/>
        <v>0.30600000000000005</v>
      </c>
      <c r="G100" s="36">
        <f t="shared" si="63"/>
        <v>0.75149999999999995</v>
      </c>
      <c r="H100" s="36">
        <f t="shared" si="64"/>
        <v>1.51389</v>
      </c>
    </row>
    <row r="101" spans="1:11" ht="13.8" thickTop="1">
      <c r="A101" s="74" t="s">
        <v>159</v>
      </c>
      <c r="B101" s="72">
        <f>MROUND(SUM(B98:B100),0.25)</f>
        <v>3</v>
      </c>
      <c r="C101" s="72">
        <f>MROUND(SUM(C98:C100),0.25)</f>
        <v>5</v>
      </c>
      <c r="D101" s="72">
        <f>MROUND(SUM(D98:D100),0.25)</f>
        <v>8</v>
      </c>
      <c r="F101" s="72">
        <f>MROUND(SUM(F98:F100),0.25)</f>
        <v>1</v>
      </c>
      <c r="G101" s="72">
        <f>MROUND(SUM(G98:G100),0.25)</f>
        <v>2.5</v>
      </c>
      <c r="H101" s="72">
        <f>MROUND(SUM(H98:H100),0.25)</f>
        <v>5</v>
      </c>
    </row>
    <row r="102" spans="1:11">
      <c r="A102" s="74"/>
      <c r="B102" s="82"/>
      <c r="C102" s="82"/>
      <c r="D102" s="82"/>
      <c r="F102" s="82"/>
      <c r="G102" s="82"/>
      <c r="H102" s="82"/>
      <c r="I102" s="81"/>
      <c r="J102" s="81"/>
      <c r="K102" s="81"/>
    </row>
    <row r="103" spans="1:11">
      <c r="A103" s="66" t="s">
        <v>161</v>
      </c>
      <c r="B103" s="64"/>
      <c r="C103" s="64"/>
      <c r="D103" s="64"/>
      <c r="E103" s="64"/>
      <c r="F103" s="64"/>
      <c r="G103" s="64"/>
      <c r="H103" s="64"/>
    </row>
    <row r="104" spans="1:11">
      <c r="A104" s="59" t="s">
        <v>162</v>
      </c>
      <c r="B104" s="36">
        <v>5.6</v>
      </c>
      <c r="C104" s="36">
        <f>B104*2.5</f>
        <v>14</v>
      </c>
      <c r="D104" s="36">
        <f>B104*5</f>
        <v>28</v>
      </c>
      <c r="F104" s="36">
        <f>0.5*B104</f>
        <v>2.8</v>
      </c>
      <c r="G104" s="36">
        <f t="shared" ref="G104:H104" si="65">0.5*C104</f>
        <v>7</v>
      </c>
      <c r="H104" s="36">
        <f t="shared" si="65"/>
        <v>14</v>
      </c>
    </row>
    <row r="105" spans="1:11">
      <c r="A105" s="73" t="s">
        <v>163</v>
      </c>
      <c r="B105" s="36">
        <v>3.2</v>
      </c>
      <c r="C105" s="36">
        <f t="shared" ref="C105:C108" si="66">B105*2.5</f>
        <v>8</v>
      </c>
      <c r="D105" s="36">
        <f t="shared" ref="D105:D108" si="67">B105*5</f>
        <v>16</v>
      </c>
      <c r="F105" s="36">
        <f t="shared" ref="F105:F108" si="68">0.5*B105</f>
        <v>1.6</v>
      </c>
      <c r="G105" s="36">
        <f t="shared" ref="G105:G108" si="69">0.5*C105</f>
        <v>4</v>
      </c>
      <c r="H105" s="36">
        <f t="shared" ref="H105:H108" si="70">0.5*D105</f>
        <v>8</v>
      </c>
    </row>
    <row r="106" spans="1:11">
      <c r="A106" s="73" t="s">
        <v>165</v>
      </c>
      <c r="B106" s="36">
        <v>3.2</v>
      </c>
      <c r="C106" s="36">
        <f t="shared" si="66"/>
        <v>8</v>
      </c>
      <c r="D106" s="36">
        <f t="shared" si="67"/>
        <v>16</v>
      </c>
      <c r="F106" s="36">
        <f t="shared" si="68"/>
        <v>1.6</v>
      </c>
      <c r="G106" s="36">
        <f t="shared" si="69"/>
        <v>4</v>
      </c>
      <c r="H106" s="36">
        <f t="shared" si="70"/>
        <v>8</v>
      </c>
    </row>
    <row r="107" spans="1:11">
      <c r="A107" s="59" t="s">
        <v>164</v>
      </c>
      <c r="B107" s="36">
        <v>3.2</v>
      </c>
      <c r="C107" s="36">
        <f t="shared" si="66"/>
        <v>8</v>
      </c>
      <c r="D107" s="36">
        <f t="shared" si="67"/>
        <v>16</v>
      </c>
      <c r="F107" s="36">
        <f t="shared" si="68"/>
        <v>1.6</v>
      </c>
      <c r="G107" s="36">
        <f t="shared" si="69"/>
        <v>4</v>
      </c>
      <c r="H107" s="36">
        <f t="shared" si="70"/>
        <v>8</v>
      </c>
    </row>
    <row r="108" spans="1:11" ht="13.8" thickBot="1">
      <c r="A108" s="59" t="s">
        <v>3</v>
      </c>
      <c r="B108" s="36">
        <v>0.8</v>
      </c>
      <c r="C108" s="36">
        <f t="shared" si="66"/>
        <v>2</v>
      </c>
      <c r="D108" s="36">
        <f t="shared" si="67"/>
        <v>4</v>
      </c>
      <c r="F108" s="36">
        <f t="shared" si="68"/>
        <v>0.4</v>
      </c>
      <c r="G108" s="36">
        <f t="shared" si="69"/>
        <v>1</v>
      </c>
      <c r="H108" s="36">
        <f t="shared" si="70"/>
        <v>2</v>
      </c>
    </row>
    <row r="109" spans="1:11" ht="13.8" thickTop="1">
      <c r="A109" s="74" t="s">
        <v>166</v>
      </c>
      <c r="B109" s="72">
        <f>MROUND(SUM(B104:B108),0.25)</f>
        <v>16</v>
      </c>
      <c r="C109" s="72">
        <f>MROUND(SUM(C104:C108),0.25)</f>
        <v>40</v>
      </c>
      <c r="D109" s="72">
        <f>MROUND(SUM(D104:D108),0.25)</f>
        <v>80</v>
      </c>
      <c r="F109" s="72">
        <f>MROUND(SUM(F104:F108),0.25)</f>
        <v>8</v>
      </c>
      <c r="G109" s="72">
        <f>MROUND(SUM(G104:G108),0.25)</f>
        <v>20</v>
      </c>
      <c r="H109" s="72">
        <f>MROUND(SUM(H104:H108),0.25)</f>
        <v>40</v>
      </c>
    </row>
    <row r="110" spans="1:11">
      <c r="A110" s="74"/>
      <c r="B110" s="82"/>
      <c r="C110" s="82"/>
      <c r="D110" s="82"/>
      <c r="F110" s="82"/>
      <c r="G110" s="82"/>
      <c r="H110" s="82"/>
    </row>
    <row r="111" spans="1:11" ht="15.6">
      <c r="A111" s="295" t="s">
        <v>171</v>
      </c>
      <c r="B111" s="296" t="s">
        <v>0</v>
      </c>
      <c r="C111" s="296" t="s">
        <v>116</v>
      </c>
      <c r="D111" s="296" t="s">
        <v>69</v>
      </c>
      <c r="E111" s="296"/>
      <c r="F111" s="296"/>
      <c r="G111" s="296"/>
      <c r="H111" s="65"/>
    </row>
    <row r="112" spans="1:11" ht="15.6">
      <c r="A112" s="59" t="s">
        <v>226</v>
      </c>
      <c r="B112" s="60">
        <v>0</v>
      </c>
      <c r="C112" s="61"/>
      <c r="D112" s="61"/>
      <c r="E112" s="61"/>
      <c r="F112" s="61"/>
      <c r="G112" s="61"/>
      <c r="H112" s="65"/>
    </row>
    <row r="113" spans="1:8">
      <c r="A113" s="59" t="s">
        <v>67</v>
      </c>
      <c r="B113" s="60">
        <v>1.25</v>
      </c>
      <c r="E113" s="62"/>
      <c r="F113" s="11"/>
      <c r="G113" s="11"/>
      <c r="H113" s="79"/>
    </row>
    <row r="114" spans="1:8">
      <c r="A114" s="59" t="s">
        <v>116</v>
      </c>
      <c r="B114" s="60">
        <v>1</v>
      </c>
      <c r="C114" s="60"/>
      <c r="D114" s="60"/>
      <c r="E114" s="62"/>
      <c r="F114" s="11"/>
      <c r="G114" s="11"/>
      <c r="H114" s="79"/>
    </row>
    <row r="115" spans="1:8">
      <c r="A115" s="59" t="s">
        <v>69</v>
      </c>
      <c r="B115" s="60">
        <v>0.85</v>
      </c>
      <c r="C115" s="60"/>
      <c r="D115" s="60"/>
      <c r="E115" s="62"/>
      <c r="F115" s="11"/>
      <c r="G115" s="11"/>
      <c r="H115" s="79"/>
    </row>
    <row r="116" spans="1:8">
      <c r="A116" s="59"/>
      <c r="B116" s="60"/>
      <c r="C116" s="60"/>
      <c r="D116" s="60"/>
      <c r="E116" s="62"/>
      <c r="F116" s="11"/>
      <c r="G116" s="11"/>
      <c r="H116" s="79"/>
    </row>
    <row r="117" spans="1:8">
      <c r="A117" s="59"/>
      <c r="B117" s="60"/>
      <c r="C117" s="60"/>
      <c r="D117" s="60"/>
      <c r="E117" s="62"/>
      <c r="F117" s="11"/>
      <c r="G117" s="11"/>
      <c r="H117" s="79"/>
    </row>
    <row r="118" spans="1:8">
      <c r="A118" s="59"/>
      <c r="B118" s="60"/>
      <c r="C118" s="60"/>
      <c r="D118" s="60"/>
      <c r="E118" s="62"/>
      <c r="F118" s="11"/>
      <c r="G118" s="11"/>
      <c r="H118" s="79"/>
    </row>
    <row r="119" spans="1:8">
      <c r="A119" s="59"/>
      <c r="B119" s="60"/>
      <c r="C119" s="60"/>
      <c r="D119" s="60"/>
      <c r="E119" s="62"/>
      <c r="F119" s="11"/>
      <c r="G119" s="11"/>
      <c r="H119" s="79"/>
    </row>
    <row r="120" spans="1:8">
      <c r="A120" s="59"/>
      <c r="B120" s="60"/>
      <c r="C120" s="60"/>
      <c r="D120" s="60"/>
      <c r="E120" s="62"/>
      <c r="F120" s="11"/>
      <c r="G120" s="11"/>
      <c r="H120" s="79"/>
    </row>
    <row r="121" spans="1:8">
      <c r="A121" s="59"/>
      <c r="B121" s="60"/>
      <c r="C121" s="60"/>
      <c r="D121" s="60"/>
      <c r="E121" s="62"/>
      <c r="F121" s="11"/>
      <c r="G121" s="11"/>
      <c r="H121" s="79"/>
    </row>
    <row r="122" spans="1:8">
      <c r="A122" s="59"/>
      <c r="B122" s="60"/>
      <c r="C122" s="60"/>
      <c r="D122" s="60"/>
      <c r="E122" s="62"/>
      <c r="F122" s="11"/>
      <c r="G122" s="11"/>
      <c r="H122" s="79"/>
    </row>
    <row r="123" spans="1:8">
      <c r="A123" s="59"/>
      <c r="B123" s="60"/>
      <c r="C123" s="60"/>
      <c r="D123" s="60"/>
      <c r="E123" s="62"/>
      <c r="F123" s="11"/>
      <c r="G123" s="11"/>
      <c r="H123" s="79"/>
    </row>
    <row r="124" spans="1:8">
      <c r="A124" s="59"/>
      <c r="B124" s="60"/>
      <c r="C124" s="60"/>
      <c r="D124" s="60"/>
      <c r="E124" s="62"/>
      <c r="F124" s="11"/>
      <c r="G124" s="11"/>
      <c r="H124" s="79"/>
    </row>
    <row r="125" spans="1:8">
      <c r="A125" s="59"/>
      <c r="B125" s="83"/>
      <c r="C125" s="60"/>
      <c r="D125" s="60"/>
      <c r="E125" s="62"/>
      <c r="F125" s="11"/>
      <c r="G125" s="11"/>
      <c r="H125" s="79"/>
    </row>
    <row r="126" spans="1:8">
      <c r="A126" s="74"/>
      <c r="B126" s="64"/>
      <c r="E126" s="62"/>
      <c r="F126" s="11"/>
      <c r="G126" s="11"/>
      <c r="H126" s="79"/>
    </row>
    <row r="127" spans="1:8" ht="15.6">
      <c r="A127" s="243" t="s">
        <v>71</v>
      </c>
      <c r="B127" s="226" t="s">
        <v>62</v>
      </c>
      <c r="C127" s="226" t="s">
        <v>63</v>
      </c>
      <c r="D127" s="226" t="s">
        <v>64</v>
      </c>
      <c r="E127" s="226" t="s">
        <v>72</v>
      </c>
      <c r="F127" s="226"/>
      <c r="G127" s="226"/>
      <c r="H127" s="84"/>
    </row>
    <row r="128" spans="1:8">
      <c r="A128" s="74"/>
      <c r="B128" s="64"/>
      <c r="E128" s="62"/>
      <c r="F128" s="11"/>
      <c r="G128" s="11"/>
      <c r="H128" s="79"/>
    </row>
    <row r="129" spans="1:8">
      <c r="A129" s="85" t="s">
        <v>74</v>
      </c>
      <c r="F129" s="11"/>
      <c r="G129" s="11"/>
      <c r="H129" s="79"/>
    </row>
    <row r="130" spans="1:8">
      <c r="A130" s="86" t="s">
        <v>207</v>
      </c>
      <c r="B130" s="36">
        <v>4.5</v>
      </c>
      <c r="C130" s="36">
        <v>9</v>
      </c>
      <c r="D130" s="36">
        <v>13.5</v>
      </c>
      <c r="E130" s="62">
        <v>18</v>
      </c>
      <c r="F130" s="11"/>
      <c r="G130" s="11"/>
      <c r="H130" s="79"/>
    </row>
    <row r="131" spans="1:8">
      <c r="A131" s="86" t="s">
        <v>46</v>
      </c>
      <c r="B131" s="36">
        <v>2.25</v>
      </c>
      <c r="C131" s="36">
        <v>4.5</v>
      </c>
      <c r="D131" s="36">
        <v>6.75</v>
      </c>
      <c r="E131" s="36">
        <v>9</v>
      </c>
      <c r="F131" s="11"/>
      <c r="G131" s="11"/>
      <c r="H131" s="79"/>
    </row>
    <row r="132" spans="1:8">
      <c r="A132" s="86" t="s">
        <v>153</v>
      </c>
      <c r="B132" s="36">
        <v>2</v>
      </c>
      <c r="C132" s="36">
        <v>4</v>
      </c>
      <c r="D132" s="36">
        <v>6</v>
      </c>
      <c r="E132" s="36">
        <v>8</v>
      </c>
      <c r="F132" s="11"/>
      <c r="G132" s="11"/>
      <c r="H132" s="79"/>
    </row>
    <row r="133" spans="1:8">
      <c r="A133" s="86" t="s">
        <v>192</v>
      </c>
      <c r="B133" s="36">
        <v>5</v>
      </c>
      <c r="C133" s="36">
        <v>10</v>
      </c>
      <c r="D133" s="36">
        <v>15</v>
      </c>
      <c r="E133" s="36">
        <v>20</v>
      </c>
      <c r="F133" s="11"/>
      <c r="G133" s="11"/>
      <c r="H133" s="79"/>
    </row>
    <row r="134" spans="1:8">
      <c r="A134" s="86" t="s">
        <v>176</v>
      </c>
      <c r="B134" s="36">
        <v>4.5</v>
      </c>
      <c r="C134" s="36">
        <v>9</v>
      </c>
      <c r="D134" s="36">
        <v>13.5</v>
      </c>
      <c r="E134" s="36">
        <v>18</v>
      </c>
      <c r="F134" s="11"/>
      <c r="G134" s="11"/>
      <c r="H134" s="79"/>
    </row>
    <row r="135" spans="1:8">
      <c r="A135" s="87" t="s">
        <v>51</v>
      </c>
      <c r="B135" s="88">
        <v>0.5</v>
      </c>
      <c r="C135" s="88">
        <v>0.75</v>
      </c>
      <c r="D135" s="88">
        <v>1</v>
      </c>
      <c r="E135" s="88">
        <v>2</v>
      </c>
      <c r="F135" s="11"/>
      <c r="G135" s="11"/>
      <c r="H135" s="79"/>
    </row>
    <row r="136" spans="1:8">
      <c r="A136" s="87" t="s">
        <v>52</v>
      </c>
      <c r="B136" s="88">
        <v>0.75</v>
      </c>
      <c r="C136" s="88">
        <v>1.25</v>
      </c>
      <c r="D136" s="88">
        <v>1.5</v>
      </c>
      <c r="E136" s="88">
        <v>2.5</v>
      </c>
      <c r="F136" s="11"/>
      <c r="G136" s="11"/>
      <c r="H136" s="79"/>
    </row>
    <row r="137" spans="1:8">
      <c r="A137" s="86" t="s">
        <v>50</v>
      </c>
      <c r="B137" s="36">
        <v>0.75</v>
      </c>
      <c r="C137" s="36">
        <v>1.5</v>
      </c>
      <c r="D137" s="36">
        <v>2.5</v>
      </c>
      <c r="E137" s="36">
        <v>3</v>
      </c>
      <c r="F137" s="11"/>
      <c r="G137" s="11"/>
      <c r="H137" s="79"/>
    </row>
    <row r="138" spans="1:8">
      <c r="A138" s="86" t="s">
        <v>123</v>
      </c>
      <c r="B138" s="36">
        <v>0.75</v>
      </c>
      <c r="C138" s="36">
        <v>1.5</v>
      </c>
      <c r="D138" s="36">
        <v>2.5</v>
      </c>
      <c r="E138" s="36">
        <v>3</v>
      </c>
      <c r="F138" s="11"/>
      <c r="G138" s="11"/>
      <c r="H138" s="79"/>
    </row>
    <row r="139" spans="1:8" ht="13.8">
      <c r="A139" s="86" t="s">
        <v>122</v>
      </c>
      <c r="B139" s="36">
        <v>1</v>
      </c>
      <c r="C139" s="36">
        <v>2</v>
      </c>
      <c r="D139" s="36">
        <v>3</v>
      </c>
      <c r="E139" s="36">
        <v>4</v>
      </c>
      <c r="F139" s="11"/>
      <c r="G139" s="11"/>
      <c r="H139" s="51"/>
    </row>
    <row r="140" spans="1:8">
      <c r="A140" s="86" t="s">
        <v>121</v>
      </c>
      <c r="B140" s="36">
        <v>0.75</v>
      </c>
      <c r="C140" s="36">
        <v>1.5</v>
      </c>
      <c r="D140" s="36">
        <v>2.5</v>
      </c>
      <c r="E140" s="36">
        <v>3</v>
      </c>
      <c r="F140" s="11"/>
      <c r="G140" s="11"/>
      <c r="H140" s="79"/>
    </row>
    <row r="141" spans="1:8">
      <c r="A141" s="86" t="s">
        <v>124</v>
      </c>
      <c r="B141" s="36">
        <v>0.75</v>
      </c>
      <c r="C141" s="36">
        <v>1.5</v>
      </c>
      <c r="D141" s="36">
        <v>2.5</v>
      </c>
      <c r="E141" s="36">
        <v>3</v>
      </c>
      <c r="F141" s="11"/>
      <c r="G141" s="11"/>
      <c r="H141" s="79"/>
    </row>
    <row r="142" spans="1:8">
      <c r="A142" s="86" t="s">
        <v>38</v>
      </c>
      <c r="B142" s="36">
        <v>1</v>
      </c>
      <c r="C142" s="36">
        <v>1.5</v>
      </c>
      <c r="D142" s="36">
        <v>2</v>
      </c>
      <c r="E142" s="36">
        <v>3</v>
      </c>
      <c r="F142" s="11"/>
      <c r="G142" s="11"/>
      <c r="H142" s="79"/>
    </row>
    <row r="143" spans="1:8">
      <c r="A143" s="36"/>
      <c r="F143" s="11"/>
      <c r="G143" s="11"/>
      <c r="H143" s="79"/>
    </row>
    <row r="144" spans="1:8">
      <c r="A144" s="85" t="s">
        <v>187</v>
      </c>
      <c r="F144" s="11"/>
      <c r="G144" s="11"/>
      <c r="H144" s="79"/>
    </row>
    <row r="145" spans="1:11">
      <c r="A145" s="85"/>
      <c r="F145" s="11"/>
      <c r="G145" s="11"/>
      <c r="H145" s="79"/>
    </row>
    <row r="146" spans="1:11">
      <c r="A146" s="85" t="s">
        <v>219</v>
      </c>
      <c r="B146" s="36">
        <v>1</v>
      </c>
      <c r="C146" s="36">
        <v>1.5</v>
      </c>
      <c r="D146" s="36">
        <v>2.5</v>
      </c>
      <c r="E146" s="36">
        <v>4</v>
      </c>
      <c r="F146" s="11"/>
      <c r="G146" s="11"/>
      <c r="H146" s="79"/>
    </row>
    <row r="147" spans="1:11">
      <c r="A147" s="85" t="s">
        <v>75</v>
      </c>
      <c r="B147" s="36">
        <v>0.5</v>
      </c>
      <c r="C147" s="36">
        <v>1</v>
      </c>
      <c r="D147" s="36">
        <v>2.5</v>
      </c>
      <c r="E147" s="36">
        <v>4</v>
      </c>
      <c r="F147" s="11"/>
      <c r="G147" s="43"/>
      <c r="H147" s="43"/>
      <c r="I147" s="43"/>
      <c r="J147" s="43"/>
    </row>
    <row r="148" spans="1:11">
      <c r="A148" s="85" t="s">
        <v>76</v>
      </c>
      <c r="B148" s="36">
        <v>0.5</v>
      </c>
      <c r="C148" s="36">
        <v>0.5</v>
      </c>
      <c r="D148" s="36">
        <v>1</v>
      </c>
      <c r="E148" s="62">
        <v>1</v>
      </c>
      <c r="F148" s="11"/>
      <c r="G148" s="11"/>
      <c r="H148" s="79"/>
    </row>
    <row r="149" spans="1:11">
      <c r="A149" s="85" t="s">
        <v>142</v>
      </c>
      <c r="B149" s="36">
        <v>0.25</v>
      </c>
      <c r="C149" s="36">
        <v>0.25</v>
      </c>
      <c r="D149" s="36">
        <v>0.5</v>
      </c>
      <c r="E149" s="62">
        <v>0.5</v>
      </c>
      <c r="F149" s="11"/>
      <c r="G149" s="11"/>
      <c r="H149" s="79"/>
    </row>
    <row r="150" spans="1:11">
      <c r="A150" s="85" t="s">
        <v>218</v>
      </c>
      <c r="B150" s="36">
        <v>0.5</v>
      </c>
      <c r="C150" s="36">
        <v>1.5</v>
      </c>
      <c r="D150" s="36">
        <v>3</v>
      </c>
      <c r="E150" s="62">
        <v>6</v>
      </c>
      <c r="F150" s="11"/>
      <c r="G150" s="11"/>
      <c r="K150" s="62"/>
    </row>
    <row r="151" spans="1:11">
      <c r="A151" s="85" t="s">
        <v>58</v>
      </c>
      <c r="B151" s="36">
        <v>0.75</v>
      </c>
      <c r="C151" s="36">
        <v>1.25</v>
      </c>
      <c r="D151" s="36">
        <v>2</v>
      </c>
      <c r="E151" s="62">
        <v>2.5</v>
      </c>
      <c r="F151" s="11"/>
      <c r="G151" s="11"/>
      <c r="H151" s="89"/>
      <c r="I151" s="89"/>
      <c r="J151" s="89"/>
      <c r="K151" s="89"/>
    </row>
    <row r="152" spans="1:11">
      <c r="A152" s="85" t="s">
        <v>49</v>
      </c>
      <c r="E152" s="62"/>
      <c r="F152" s="11"/>
      <c r="G152" s="11"/>
      <c r="H152" s="79"/>
    </row>
    <row r="153" spans="1:11">
      <c r="A153" s="86" t="s">
        <v>59</v>
      </c>
      <c r="B153" s="36">
        <v>5</v>
      </c>
      <c r="C153" s="36">
        <v>10</v>
      </c>
      <c r="D153" s="36">
        <v>20</v>
      </c>
      <c r="E153" s="62">
        <v>40</v>
      </c>
      <c r="F153" s="11"/>
      <c r="G153" s="11"/>
      <c r="H153" s="79"/>
    </row>
    <row r="154" spans="1:11">
      <c r="A154" s="86" t="s">
        <v>60</v>
      </c>
      <c r="B154" s="36">
        <v>5</v>
      </c>
      <c r="C154" s="36">
        <v>10</v>
      </c>
      <c r="D154" s="36">
        <v>20</v>
      </c>
      <c r="E154" s="62">
        <v>40</v>
      </c>
      <c r="F154" s="11"/>
      <c r="G154" s="11"/>
      <c r="H154" s="79"/>
    </row>
    <row r="155" spans="1:11">
      <c r="A155" s="86" t="s">
        <v>61</v>
      </c>
      <c r="B155" s="36">
        <v>5</v>
      </c>
      <c r="C155" s="36">
        <v>10</v>
      </c>
      <c r="D155" s="36">
        <v>20</v>
      </c>
      <c r="E155" s="62">
        <v>40</v>
      </c>
      <c r="F155" s="11"/>
      <c r="G155" s="11"/>
      <c r="H155" s="79"/>
    </row>
    <row r="156" spans="1:11">
      <c r="A156" s="36"/>
      <c r="B156" s="64"/>
      <c r="E156" s="62"/>
      <c r="F156" s="11"/>
      <c r="G156" s="11"/>
      <c r="H156" s="79"/>
    </row>
    <row r="157" spans="1:11">
      <c r="A157" s="85"/>
      <c r="B157" s="64"/>
      <c r="E157" s="62"/>
      <c r="F157" s="11"/>
      <c r="G157" s="11"/>
      <c r="H157" s="79"/>
    </row>
    <row r="158" spans="1:11" ht="15.6">
      <c r="A158" s="243" t="s">
        <v>73</v>
      </c>
      <c r="B158" s="226" t="s">
        <v>0</v>
      </c>
      <c r="C158" s="226" t="s">
        <v>116</v>
      </c>
      <c r="D158" s="226" t="s">
        <v>69</v>
      </c>
      <c r="E158" s="226"/>
      <c r="F158" s="226"/>
      <c r="G158" s="226"/>
      <c r="H158" s="84"/>
    </row>
    <row r="159" spans="1:11">
      <c r="A159" s="59" t="s">
        <v>67</v>
      </c>
      <c r="B159" s="36">
        <v>1.25</v>
      </c>
      <c r="E159" s="62"/>
      <c r="F159" s="11"/>
      <c r="G159" s="11"/>
      <c r="H159" s="79"/>
    </row>
    <row r="160" spans="1:11">
      <c r="A160" s="59" t="s">
        <v>116</v>
      </c>
      <c r="B160" s="36">
        <v>1</v>
      </c>
      <c r="E160" s="62"/>
      <c r="F160" s="11"/>
      <c r="G160" s="11"/>
      <c r="H160" s="79"/>
    </row>
    <row r="161" spans="1:8">
      <c r="A161" s="59" t="s">
        <v>69</v>
      </c>
      <c r="B161" s="36">
        <v>0.95</v>
      </c>
      <c r="E161" s="62"/>
      <c r="F161" s="11"/>
      <c r="G161" s="11"/>
      <c r="H161" s="79"/>
    </row>
    <row r="164" spans="1:8">
      <c r="A164" s="90"/>
    </row>
    <row r="165" spans="1:8">
      <c r="A165" s="91"/>
      <c r="B165" s="92"/>
    </row>
    <row r="166" spans="1:8">
      <c r="A166" s="91"/>
      <c r="B166" s="92"/>
    </row>
    <row r="167" spans="1:8">
      <c r="A167" s="91"/>
      <c r="B167" s="92"/>
    </row>
    <row r="168" spans="1:8">
      <c r="A168" s="91"/>
      <c r="B168" s="92"/>
    </row>
    <row r="169" spans="1:8">
      <c r="A169" s="91"/>
      <c r="B169" s="92"/>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dimension ref="A1:F51"/>
  <sheetViews>
    <sheetView workbookViewId="0">
      <pane ySplit="1" topLeftCell="A35" activePane="bottomLeft" state="frozen"/>
      <selection pane="bottomLeft" activeCell="A43" sqref="A43:A46"/>
    </sheetView>
  </sheetViews>
  <sheetFormatPr defaultRowHeight="13.2"/>
  <cols>
    <col min="1" max="1" width="28.109375" style="371" bestFit="1" customWidth="1"/>
    <col min="2" max="2" width="38.44140625" style="371" customWidth="1"/>
    <col min="3" max="3" width="80.44140625" style="371" customWidth="1"/>
  </cols>
  <sheetData>
    <row r="1" spans="1:4">
      <c r="A1" s="379" t="s">
        <v>303</v>
      </c>
      <c r="B1" s="379" t="s">
        <v>304</v>
      </c>
      <c r="C1" s="379" t="s">
        <v>305</v>
      </c>
      <c r="D1" s="380" t="s">
        <v>306</v>
      </c>
    </row>
    <row r="2" spans="1:4">
      <c r="A2" s="381" t="s">
        <v>307</v>
      </c>
      <c r="B2" s="381" t="s">
        <v>82</v>
      </c>
      <c r="C2" s="381" t="s">
        <v>308</v>
      </c>
      <c r="D2" s="382">
        <v>2.1</v>
      </c>
    </row>
    <row r="3" spans="1:4" ht="13.8">
      <c r="A3" s="383"/>
      <c r="B3" s="383"/>
      <c r="C3" s="381" t="s">
        <v>309</v>
      </c>
      <c r="D3" s="382">
        <v>2.1</v>
      </c>
    </row>
    <row r="4" spans="1:4" ht="13.8">
      <c r="A4" s="383"/>
      <c r="B4" s="383"/>
      <c r="C4" s="381" t="s">
        <v>310</v>
      </c>
      <c r="D4" s="382">
        <v>2.1</v>
      </c>
    </row>
    <row r="5" spans="1:4" ht="13.8">
      <c r="A5" s="477"/>
      <c r="B5" s="477"/>
      <c r="C5" s="477"/>
      <c r="D5" s="477"/>
    </row>
    <row r="6" spans="1:4" ht="13.8">
      <c r="A6" s="381" t="s">
        <v>311</v>
      </c>
      <c r="B6" s="384"/>
      <c r="C6" s="383"/>
      <c r="D6" s="382">
        <v>2.2000000000000002</v>
      </c>
    </row>
    <row r="7" spans="1:4">
      <c r="A7" s="381" t="s">
        <v>312</v>
      </c>
      <c r="B7" s="384"/>
      <c r="C7" s="381" t="s">
        <v>315</v>
      </c>
      <c r="D7" s="382">
        <v>2.2000000000000002</v>
      </c>
    </row>
    <row r="8" spans="1:4">
      <c r="A8" s="381" t="s">
        <v>313</v>
      </c>
      <c r="B8" s="384"/>
      <c r="C8" s="381" t="s">
        <v>316</v>
      </c>
      <c r="D8" s="382">
        <v>2.2000000000000002</v>
      </c>
    </row>
    <row r="9" spans="1:4" ht="13.8">
      <c r="A9" s="383"/>
      <c r="B9" s="384"/>
      <c r="C9" s="381" t="s">
        <v>317</v>
      </c>
      <c r="D9" s="382">
        <v>2.2000000000000002</v>
      </c>
    </row>
    <row r="10" spans="1:4">
      <c r="A10" s="381" t="s">
        <v>314</v>
      </c>
      <c r="B10" s="384"/>
      <c r="C10" s="381" t="s">
        <v>318</v>
      </c>
      <c r="D10" s="382">
        <v>2.2000000000000002</v>
      </c>
    </row>
    <row r="11" spans="1:4" ht="13.8">
      <c r="A11" s="383"/>
      <c r="B11" s="384"/>
      <c r="C11" s="381" t="s">
        <v>319</v>
      </c>
      <c r="D11" s="382">
        <v>2.2000000000000002</v>
      </c>
    </row>
    <row r="12" spans="1:4" ht="13.8">
      <c r="A12" s="383"/>
      <c r="B12" s="384"/>
      <c r="C12" s="381" t="s">
        <v>320</v>
      </c>
      <c r="D12" s="382">
        <v>2.2000000000000002</v>
      </c>
    </row>
    <row r="13" spans="1:4">
      <c r="A13" s="381" t="s">
        <v>314</v>
      </c>
      <c r="B13" s="385" t="s">
        <v>321</v>
      </c>
      <c r="C13" s="385" t="s">
        <v>322</v>
      </c>
      <c r="D13" s="382">
        <v>2.2000000000000002</v>
      </c>
    </row>
    <row r="14" spans="1:4">
      <c r="A14" s="384"/>
      <c r="B14" s="381" t="s">
        <v>172</v>
      </c>
      <c r="C14" s="385" t="s">
        <v>323</v>
      </c>
      <c r="D14" s="382">
        <v>2.2000000000000002</v>
      </c>
    </row>
    <row r="15" spans="1:4" ht="13.8">
      <c r="A15" s="386"/>
      <c r="B15" s="386"/>
      <c r="C15" s="387"/>
      <c r="D15" s="388"/>
    </row>
    <row r="16" spans="1:4" ht="39.6">
      <c r="A16" s="381" t="s">
        <v>314</v>
      </c>
      <c r="B16" s="389" t="s">
        <v>324</v>
      </c>
      <c r="C16" s="390" t="s">
        <v>327</v>
      </c>
      <c r="D16" s="384">
        <v>2.2999999999999998</v>
      </c>
    </row>
    <row r="17" spans="1:4" ht="13.8">
      <c r="A17" s="477"/>
      <c r="B17" s="477"/>
      <c r="C17" s="477"/>
      <c r="D17" s="477"/>
    </row>
    <row r="18" spans="1:4" ht="52.8">
      <c r="A18" s="381" t="s">
        <v>325</v>
      </c>
      <c r="B18" s="389" t="s">
        <v>326</v>
      </c>
      <c r="C18" s="390" t="s">
        <v>329</v>
      </c>
      <c r="D18" s="384">
        <v>2.4</v>
      </c>
    </row>
    <row r="19" spans="1:4" ht="13.8">
      <c r="A19" s="477"/>
      <c r="B19" s="477"/>
      <c r="C19" s="477"/>
      <c r="D19" s="477"/>
    </row>
    <row r="20" spans="1:4" ht="39.6">
      <c r="A20" s="389" t="s">
        <v>313</v>
      </c>
      <c r="B20" s="389" t="s">
        <v>328</v>
      </c>
      <c r="C20" s="390" t="s">
        <v>330</v>
      </c>
      <c r="D20" s="384">
        <v>2.5</v>
      </c>
    </row>
    <row r="21" spans="1:4" ht="26.4">
      <c r="A21" s="389" t="s">
        <v>314</v>
      </c>
      <c r="B21" s="389" t="s">
        <v>332</v>
      </c>
      <c r="C21" s="390" t="s">
        <v>331</v>
      </c>
      <c r="D21" s="384">
        <v>2.5</v>
      </c>
    </row>
    <row r="22" spans="1:4" ht="26.4">
      <c r="A22" s="389" t="s">
        <v>307</v>
      </c>
      <c r="B22" s="389" t="s">
        <v>58</v>
      </c>
      <c r="C22" s="390" t="s">
        <v>333</v>
      </c>
      <c r="D22" s="384">
        <v>2.5</v>
      </c>
    </row>
    <row r="23" spans="1:4" ht="13.8">
      <c r="A23" s="477"/>
      <c r="B23" s="477"/>
      <c r="C23" s="477"/>
      <c r="D23" s="477"/>
    </row>
    <row r="24" spans="1:4" ht="26.4">
      <c r="A24" s="389" t="s">
        <v>314</v>
      </c>
      <c r="B24" s="389" t="s">
        <v>335</v>
      </c>
      <c r="C24" s="390" t="s">
        <v>336</v>
      </c>
      <c r="D24" s="384">
        <v>2.6</v>
      </c>
    </row>
    <row r="25" spans="1:4" ht="79.2">
      <c r="A25" s="390" t="s">
        <v>337</v>
      </c>
      <c r="B25" s="389" t="s">
        <v>24</v>
      </c>
      <c r="C25" s="390" t="s">
        <v>338</v>
      </c>
      <c r="D25" s="384">
        <v>2.6</v>
      </c>
    </row>
    <row r="26" spans="1:4" ht="92.4">
      <c r="A26" s="384" t="s">
        <v>314</v>
      </c>
      <c r="B26" s="389" t="s">
        <v>258</v>
      </c>
      <c r="C26" s="390" t="s">
        <v>347</v>
      </c>
      <c r="D26" s="384">
        <v>2.6</v>
      </c>
    </row>
    <row r="27" spans="1:4" ht="92.4">
      <c r="A27" s="384"/>
      <c r="B27" s="389"/>
      <c r="C27" s="390" t="s">
        <v>348</v>
      </c>
      <c r="D27" s="384">
        <v>2.6</v>
      </c>
    </row>
    <row r="28" spans="1:4">
      <c r="A28" s="384" t="s">
        <v>325</v>
      </c>
      <c r="B28" s="389" t="s">
        <v>339</v>
      </c>
      <c r="C28" s="389" t="s">
        <v>340</v>
      </c>
      <c r="D28" s="384">
        <v>2.6</v>
      </c>
    </row>
    <row r="29" spans="1:4" ht="39.6">
      <c r="A29" s="389" t="s">
        <v>313</v>
      </c>
      <c r="B29" s="390" t="s">
        <v>343</v>
      </c>
      <c r="C29" s="390" t="s">
        <v>342</v>
      </c>
      <c r="D29" s="384">
        <v>2.6</v>
      </c>
    </row>
    <row r="30" spans="1:4" ht="13.8">
      <c r="A30" s="477"/>
      <c r="B30" s="477"/>
      <c r="C30" s="477"/>
      <c r="D30" s="477"/>
    </row>
    <row r="31" spans="1:4">
      <c r="A31" s="389" t="s">
        <v>314</v>
      </c>
      <c r="B31" s="389" t="s">
        <v>353</v>
      </c>
      <c r="C31" s="390" t="s">
        <v>354</v>
      </c>
      <c r="D31" s="384">
        <v>2.7</v>
      </c>
    </row>
    <row r="32" spans="1:4">
      <c r="A32" s="389" t="s">
        <v>314</v>
      </c>
      <c r="B32" s="389" t="s">
        <v>81</v>
      </c>
      <c r="C32" s="390" t="s">
        <v>355</v>
      </c>
      <c r="D32" s="384">
        <v>2.7</v>
      </c>
    </row>
    <row r="33" spans="1:6">
      <c r="A33" s="389" t="s">
        <v>356</v>
      </c>
      <c r="B33" s="389" t="s">
        <v>357</v>
      </c>
      <c r="C33" s="390" t="s">
        <v>358</v>
      </c>
      <c r="D33" s="384">
        <v>2.7</v>
      </c>
    </row>
    <row r="34" spans="1:6">
      <c r="A34" s="389" t="s">
        <v>359</v>
      </c>
      <c r="B34" s="389" t="s">
        <v>360</v>
      </c>
      <c r="C34" s="390" t="s">
        <v>361</v>
      </c>
      <c r="D34" s="384">
        <v>2.7</v>
      </c>
    </row>
    <row r="35" spans="1:6">
      <c r="A35" s="389" t="s">
        <v>362</v>
      </c>
      <c r="B35" s="389" t="s">
        <v>363</v>
      </c>
      <c r="C35" s="390" t="s">
        <v>364</v>
      </c>
      <c r="D35" s="384">
        <v>2.7</v>
      </c>
    </row>
    <row r="36" spans="1:6">
      <c r="A36" s="389" t="s">
        <v>362</v>
      </c>
      <c r="B36" s="389" t="s">
        <v>363</v>
      </c>
      <c r="C36" s="390" t="s">
        <v>365</v>
      </c>
      <c r="D36" s="384">
        <v>2.7</v>
      </c>
    </row>
    <row r="37" spans="1:6">
      <c r="A37" s="389" t="s">
        <v>313</v>
      </c>
      <c r="B37" s="389" t="s">
        <v>366</v>
      </c>
      <c r="C37" s="390" t="s">
        <v>367</v>
      </c>
      <c r="D37" s="384">
        <v>2.7</v>
      </c>
    </row>
    <row r="38" spans="1:6" ht="13.8">
      <c r="A38" s="477"/>
      <c r="B38" s="477"/>
      <c r="C38" s="477"/>
      <c r="D38" s="477"/>
    </row>
    <row r="39" spans="1:6" ht="26.4">
      <c r="A39" s="389" t="s">
        <v>368</v>
      </c>
      <c r="B39" s="390" t="s">
        <v>369</v>
      </c>
      <c r="C39" s="389" t="s">
        <v>370</v>
      </c>
      <c r="D39" s="384">
        <v>2.8</v>
      </c>
    </row>
    <row r="40" spans="1:6" ht="26.4">
      <c r="A40" s="389" t="s">
        <v>368</v>
      </c>
      <c r="B40" s="390" t="s">
        <v>371</v>
      </c>
      <c r="C40" s="389" t="s">
        <v>374</v>
      </c>
      <c r="D40" s="384">
        <v>2.8</v>
      </c>
    </row>
    <row r="41" spans="1:6" ht="26.4">
      <c r="A41" s="389" t="s">
        <v>368</v>
      </c>
      <c r="B41" s="390" t="s">
        <v>372</v>
      </c>
      <c r="C41" s="389" t="s">
        <v>375</v>
      </c>
      <c r="D41" s="384">
        <v>2.8</v>
      </c>
    </row>
    <row r="42" spans="1:6" ht="26.4">
      <c r="A42" s="389" t="s">
        <v>368</v>
      </c>
      <c r="B42" s="390" t="s">
        <v>373</v>
      </c>
      <c r="C42" s="389" t="s">
        <v>375</v>
      </c>
      <c r="D42" s="384">
        <v>2.8</v>
      </c>
    </row>
    <row r="43" spans="1:6" ht="26.4">
      <c r="A43" s="389" t="s">
        <v>359</v>
      </c>
      <c r="B43" s="390" t="s">
        <v>369</v>
      </c>
      <c r="C43" s="389" t="s">
        <v>370</v>
      </c>
      <c r="D43" s="384">
        <v>2.8</v>
      </c>
    </row>
    <row r="44" spans="1:6" ht="26.4">
      <c r="A44" s="389" t="s">
        <v>359</v>
      </c>
      <c r="B44" s="390" t="s">
        <v>371</v>
      </c>
      <c r="C44" s="389" t="s">
        <v>374</v>
      </c>
      <c r="D44" s="384">
        <v>2.8</v>
      </c>
    </row>
    <row r="45" spans="1:6" ht="26.4">
      <c r="A45" s="389" t="s">
        <v>359</v>
      </c>
      <c r="B45" s="390" t="s">
        <v>372</v>
      </c>
      <c r="C45" s="389" t="s">
        <v>375</v>
      </c>
      <c r="D45" s="384">
        <v>2.8</v>
      </c>
    </row>
    <row r="46" spans="1:6" ht="26.4">
      <c r="A46" s="389" t="s">
        <v>359</v>
      </c>
      <c r="B46" s="390" t="s">
        <v>373</v>
      </c>
      <c r="C46" s="389" t="s">
        <v>375</v>
      </c>
      <c r="D46" s="384">
        <v>2.8</v>
      </c>
    </row>
    <row r="48" spans="1:6" ht="14.4">
      <c r="B48" s="391"/>
      <c r="C48" s="392"/>
      <c r="D48" s="392"/>
      <c r="E48" s="392"/>
      <c r="F48" s="392"/>
    </row>
    <row r="49" spans="2:6" ht="14.4">
      <c r="B49" s="391"/>
      <c r="C49" s="393"/>
      <c r="D49" s="393"/>
      <c r="E49" s="392"/>
      <c r="F49" s="392"/>
    </row>
    <row r="50" spans="2:6" ht="14.4">
      <c r="B50" s="391"/>
      <c r="C50" s="393"/>
      <c r="D50" s="392"/>
      <c r="E50" s="392"/>
      <c r="F50" s="392"/>
    </row>
    <row r="51" spans="2:6" ht="14.4">
      <c r="B51" s="391"/>
      <c r="C51" s="393"/>
      <c r="D51" s="392"/>
      <c r="E51" s="392"/>
      <c r="F51" s="392"/>
    </row>
  </sheetData>
  <sheetProtection algorithmName="SHA-512" hashValue="ajew0qqHNlrA0PPoxYquLrXJ2kCncok6lwFA2MB0+001RMTrWVsewdj/RH1ilqu7J9Hjys+obt4MQsgyxBHbaw==" saltValue="sNTQjh+d6Rsib1hAVCmGGw==" spinCount="100000" sheet="1" objects="1" scenarios="1" selectLockedCells="1"/>
  <mergeCells count="6">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Props1.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2.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93F35A-D36F-41F2-AA7C-BBDAFC43899A}">
  <ds:schemaRefs>
    <ds:schemaRef ds:uri="http://schemas.microsoft.com/sharepoint/events"/>
  </ds:schemaRefs>
</ds:datastoreItem>
</file>

<file path=customXml/itemProps4.xml><?xml version="1.0" encoding="utf-8"?>
<ds:datastoreItem xmlns:ds="http://schemas.openxmlformats.org/officeDocument/2006/customXml" ds:itemID="{C4454C61-4D14-4D69-B2B5-D2C4E936529E}">
  <ds:schemaRefs>
    <ds:schemaRef ds:uri="http://purl.org/dc/terms/"/>
    <ds:schemaRef ds:uri="http://purl.org/dc/elements/1.1/"/>
    <ds:schemaRef ds:uri="http://purl.org/dc/dcmitype/"/>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3d7a820e-06ac-459d-922d-03596f51b4a4"/>
    <ds:schemaRef ds:uri="http://www.w3.org/XML/1998/namespace"/>
  </ds:schemaRefs>
</ds:datastoreItem>
</file>

<file path=docMetadata/LabelInfo.xml><?xml version="1.0" encoding="utf-8"?>
<clbl:labelList xmlns:clbl="http://schemas.microsoft.com/office/2020/mipLabelMetadata">
  <clbl:label id="{01c35869-6495-4b3a-952e-bc5e37f13032}" enabled="1" method="Standard" siteId="{c663f89c-ef9b-418f-bd3d-41e46c0ce06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33</vt:i4>
      </vt:variant>
    </vt:vector>
  </HeadingPairs>
  <TitlesOfParts>
    <vt:vector size="34" baseType="lpstr">
      <vt:lpstr>START</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InitialEstimate!Print_Area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Aakanksha, Aakanksha</cp:lastModifiedBy>
  <cp:lastPrinted>2026-03-03T18:50:42Z</cp:lastPrinted>
  <dcterms:created xsi:type="dcterms:W3CDTF">1998-11-09T19:01:37Z</dcterms:created>
  <dcterms:modified xsi:type="dcterms:W3CDTF">2026-06-05T14:44:22Z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