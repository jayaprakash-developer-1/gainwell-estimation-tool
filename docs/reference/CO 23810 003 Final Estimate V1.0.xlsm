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R:\PA MMIS\Teams\MSIS Shared\T-MSIS Projects - On-going COs\CO 23810 003 - High Amount Claim Rpting\Estimates\"/>
    </mc:Choice>
  </mc:AlternateContent>
  <xr:revisionPtr revIDLastSave="0" documentId="13_ncr:1_{31769467-904F-4280-85C6-72FFF55E46B0}" xr6:coauthVersionLast="47" xr6:coauthVersionMax="47" xr10:uidLastSave="{00000000-0000-0000-0000-000000000000}"/>
  <bookViews>
    <workbookView xWindow="-120" yWindow="-120" windowWidth="29040" windowHeight="15720" tabRatio="844" xr2:uid="{00000000-000D-0000-FFFF-FFFF00000000}"/>
  </bookViews>
  <sheets>
    <sheet name="START" sheetId="15" r:id="rId1"/>
    <sheet name="InitialEstimate" sheetId="13" state="veryHidden" r:id="rId2"/>
    <sheet name="Dtl EstimateSummary" sheetId="8" state="veryHidden" r:id="rId3"/>
    <sheet name="Dtl SE_ModuleDoco" sheetId="5" state="veryHidden" r:id="rId4"/>
    <sheet name="Dtl BA_Considerations" sheetId="7" state="veryHidden" r:id="rId5"/>
    <sheet name="Dtl Collaboration_Quality" sheetId="9" state="veryHidden" r:id="rId6"/>
    <sheet name="FinalEstimate" sheetId="14" state="veryHidden" r:id="rId7"/>
    <sheet name="IntialEstWeightedValues" sheetId="12" state="veryHidden" r:id="rId8"/>
    <sheet name="DetailedEstWeightedValues" sheetId="2" state="veryHidden" r:id="rId9"/>
    <sheet name="Version History" sheetId="16" state="veryHidden" r:id="rId10"/>
  </sheets>
  <definedNames>
    <definedName name="ExpCompTC">'Dtl BA_Considerations'!$E$32</definedName>
    <definedName name="ExpCompTCI">'Dtl BA_Considerations'!$E$33</definedName>
    <definedName name="ExpModTC">'Dtl BA_Considerations'!$D$32</definedName>
    <definedName name="ExpModTCI">'Dtl BA_Considerations'!$D$33</definedName>
    <definedName name="ExpSimpTC">'Dtl BA_Considerations'!$C$32</definedName>
    <definedName name="ExpSimpTCI">'Dtl BA_Considerations'!$C$33</definedName>
    <definedName name="ExpVCompTC">'Dtl BA_Considerations'!$F$32</definedName>
    <definedName name="ExpVCompTCI">'Dtl BA_Considerations'!$F$33</definedName>
    <definedName name="NewCompTC">'Dtl BA_Considerations'!$E$16</definedName>
    <definedName name="NewCompTCI">'Dtl BA_Considerations'!$E$17</definedName>
    <definedName name="NewModTC">'Dtl BA_Considerations'!$D$16</definedName>
    <definedName name="NewModTCI">'Dtl BA_Considerations'!$D$17</definedName>
    <definedName name="NewSimpTC">'Dtl BA_Considerations'!$C$16</definedName>
    <definedName name="NewSimpTCI">'Dtl BA_Considerations'!$C$17</definedName>
    <definedName name="NewVCompTC">'Dtl BA_Considerations'!$F$16</definedName>
    <definedName name="NewVCompTCI">'Dtl BA_Considerations'!$F$17</definedName>
    <definedName name="_xlnm.Print_Area" localSheetId="8">DetailedEstWeightedValues!$A$2:$J$107</definedName>
    <definedName name="_xlnm.Print_Area" localSheetId="4">'Dtl BA_Considerations'!$A$2:$K$69</definedName>
    <definedName name="_xlnm.Print_Area" localSheetId="5">'Dtl Collaboration_Quality'!$A$2:$J$54</definedName>
    <definedName name="_xlnm.Print_Area" localSheetId="2">'Dtl EstimateSummary'!$A$1:$F$120</definedName>
    <definedName name="_xlnm.Print_Area" localSheetId="3">'Dtl SE_ModuleDoco'!$A$2:$L$102</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BA_Considerations'!$E$24</definedName>
    <definedName name="ProfCompTCI">'Dtl BA_Considerations'!$E$25</definedName>
    <definedName name="ProfModTC">'Dtl BA_Considerations'!$D$24</definedName>
    <definedName name="ProfModTCI">'Dtl BA_Considerations'!$D$25</definedName>
    <definedName name="ProfSimpTC">'Dtl BA_Considerations'!$C$24</definedName>
    <definedName name="ProfSimpTCI">'Dtl BA_Considerations'!$C$25</definedName>
    <definedName name="ProfVCompTC">'Dtl BA_Considerations'!$F$24</definedName>
    <definedName name="ProfVCompTCI">'Dtl BA_Considerations'!$F$25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1" i="14" l="1"/>
  <c r="D13" i="14"/>
  <c r="G36" i="13"/>
  <c r="G39" i="13"/>
  <c r="J43" i="7"/>
  <c r="G38" i="13"/>
  <c r="I38" i="13" s="1"/>
  <c r="G37" i="13"/>
  <c r="I37" i="13" s="1"/>
  <c r="D31" i="14"/>
  <c r="K61" i="7"/>
  <c r="E113" i="8" s="1"/>
  <c r="G75" i="5"/>
  <c r="G74" i="5"/>
  <c r="H74" i="5"/>
  <c r="G70" i="5"/>
  <c r="G69" i="5"/>
  <c r="H70" i="5"/>
  <c r="H69" i="5"/>
  <c r="G65" i="5"/>
  <c r="H65" i="5"/>
  <c r="G64" i="5"/>
  <c r="G36" i="5"/>
  <c r="G57" i="5"/>
  <c r="H64" i="5"/>
  <c r="H12" i="9"/>
  <c r="I42" i="13"/>
  <c r="I40" i="13"/>
  <c r="D34" i="14"/>
  <c r="E78" i="8"/>
  <c r="C22" i="14" l="1"/>
  <c r="E111" i="8"/>
  <c r="D31" i="9"/>
  <c r="D23" i="9"/>
  <c r="G22" i="13"/>
  <c r="G23" i="5"/>
  <c r="H23" i="5" s="1"/>
  <c r="J23" i="5" s="1"/>
  <c r="I85" i="5"/>
  <c r="E69" i="8" s="1"/>
  <c r="I41" i="13"/>
  <c r="D91" i="8"/>
  <c r="C15" i="14" l="1"/>
  <c r="D78" i="5"/>
  <c r="E78" i="5"/>
  <c r="F78" i="5"/>
  <c r="D73" i="5"/>
  <c r="E73" i="5"/>
  <c r="F73" i="5"/>
  <c r="D68" i="5"/>
  <c r="E68" i="5"/>
  <c r="F68" i="5"/>
  <c r="D63" i="5"/>
  <c r="E63" i="5"/>
  <c r="F63" i="5"/>
  <c r="D56" i="5"/>
  <c r="E56" i="5"/>
  <c r="F56" i="5"/>
  <c r="D50" i="5"/>
  <c r="E50" i="5"/>
  <c r="F50" i="5"/>
  <c r="B25" i="8"/>
  <c r="I78" i="5"/>
  <c r="I73" i="5"/>
  <c r="I63" i="5"/>
  <c r="I68" i="5"/>
  <c r="I56" i="5"/>
  <c r="I50" i="5"/>
  <c r="G21" i="13" l="1"/>
  <c r="G20" i="13" l="1"/>
  <c r="G19" i="13"/>
  <c r="G18" i="13"/>
  <c r="G22" i="5"/>
  <c r="H22" i="5" s="1"/>
  <c r="J22" i="5" s="1"/>
  <c r="G21" i="5"/>
  <c r="H21" i="5" s="1"/>
  <c r="J21" i="5" s="1"/>
  <c r="G20" i="5"/>
  <c r="H20" i="5" s="1"/>
  <c r="J20" i="5" s="1"/>
  <c r="G19" i="5"/>
  <c r="H19" i="5" s="1"/>
  <c r="J19" i="5" s="1"/>
  <c r="G81" i="5"/>
  <c r="G80" i="5"/>
  <c r="G79" i="5"/>
  <c r="G68" i="5"/>
  <c r="G60" i="5"/>
  <c r="G59" i="5"/>
  <c r="G58" i="5"/>
  <c r="G53" i="5"/>
  <c r="G52" i="5"/>
  <c r="G51" i="5"/>
  <c r="G47" i="5"/>
  <c r="G46" i="5"/>
  <c r="G42" i="5"/>
  <c r="G41" i="5"/>
  <c r="G37" i="5"/>
  <c r="G32" i="5"/>
  <c r="G31" i="5"/>
  <c r="G30" i="5"/>
  <c r="G29" i="5"/>
  <c r="G28" i="5"/>
  <c r="G27" i="5"/>
  <c r="G18" i="5"/>
  <c r="G17" i="5"/>
  <c r="G16" i="5"/>
  <c r="G15" i="5"/>
  <c r="G14" i="5"/>
  <c r="G13" i="5"/>
  <c r="B1" i="8"/>
  <c r="B1" i="5"/>
  <c r="B12" i="8"/>
  <c r="F13" i="7"/>
  <c r="E13" i="7"/>
  <c r="D13" i="7"/>
  <c r="C13" i="7"/>
  <c r="G78" i="5" l="1"/>
  <c r="G50" i="5"/>
  <c r="G56" i="5"/>
  <c r="G73" i="5"/>
  <c r="G63" i="5"/>
  <c r="G17" i="13"/>
  <c r="G16" i="13"/>
  <c r="G21" i="9" l="1"/>
  <c r="I21" i="9" s="1"/>
  <c r="G18" i="9"/>
  <c r="I18" i="9" s="1"/>
  <c r="G15" i="9"/>
  <c r="I15" i="9" s="1"/>
  <c r="A96" i="8" l="1"/>
  <c r="E10" i="14" l="1"/>
  <c r="G10" i="13" l="1"/>
  <c r="G15" i="13" l="1"/>
  <c r="D67" i="8" l="1"/>
  <c r="D65" i="8"/>
  <c r="D63" i="8"/>
  <c r="D61" i="8"/>
  <c r="D59" i="8"/>
  <c r="D57" i="8"/>
  <c r="E45" i="5"/>
  <c r="F45" i="5"/>
  <c r="I45" i="5"/>
  <c r="D55" i="8" s="1"/>
  <c r="D45" i="5"/>
  <c r="E40" i="5"/>
  <c r="F40" i="5"/>
  <c r="I40" i="5"/>
  <c r="D53" i="8" s="1"/>
  <c r="D40" i="5"/>
  <c r="E35" i="5"/>
  <c r="F35" i="5"/>
  <c r="I35" i="5"/>
  <c r="D51" i="8" s="1"/>
  <c r="D35" i="5"/>
  <c r="E26" i="5"/>
  <c r="F26" i="5"/>
  <c r="I26" i="5"/>
  <c r="D49" i="8" s="1"/>
  <c r="D26" i="5"/>
  <c r="F12" i="5"/>
  <c r="I12" i="5"/>
  <c r="E12" i="5"/>
  <c r="D12" i="5"/>
  <c r="I11" i="5" l="1"/>
  <c r="D47" i="8"/>
  <c r="J13" i="7"/>
  <c r="J10" i="7" s="1"/>
  <c r="B4" i="8" l="1"/>
  <c r="B1" i="12" l="1"/>
  <c r="B1" i="14"/>
  <c r="G14" i="13"/>
  <c r="G13" i="13" l="1"/>
  <c r="G8" i="13"/>
  <c r="G9" i="13"/>
  <c r="G11" i="13"/>
  <c r="G12" i="13"/>
  <c r="G7" i="13"/>
  <c r="G23" i="13" s="1"/>
  <c r="B2" i="14" l="1"/>
  <c r="D82" i="8" l="1"/>
  <c r="D93" i="8"/>
  <c r="D92" i="8"/>
  <c r="D83" i="8"/>
  <c r="D81" i="8"/>
  <c r="E20" i="14" l="1"/>
  <c r="E19" i="14"/>
  <c r="E18" i="14"/>
  <c r="E14" i="14"/>
  <c r="E12" i="14"/>
  <c r="B1" i="9" l="1"/>
  <c r="A1" i="9"/>
  <c r="A1" i="8"/>
  <c r="A1" i="5"/>
  <c r="H31" i="7" l="1"/>
  <c r="H23" i="7"/>
  <c r="H15" i="7"/>
  <c r="I15" i="7" l="1"/>
  <c r="I23" i="7"/>
  <c r="I31" i="7"/>
  <c r="K31"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3" i="7" l="1"/>
  <c r="K15"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44" i="13"/>
  <c r="I39" i="13"/>
  <c r="I36" i="13"/>
  <c r="B51" i="13" s="1"/>
  <c r="B31" i="12"/>
  <c r="C31" i="12"/>
  <c r="D31" i="12"/>
  <c r="E31" i="12"/>
  <c r="B32" i="12"/>
  <c r="C32" i="12"/>
  <c r="D32" i="12"/>
  <c r="E32" i="12"/>
  <c r="B47" i="8" l="1"/>
  <c r="G27" i="13"/>
  <c r="I27" i="13" s="1"/>
  <c r="G31" i="13" l="1"/>
  <c r="I31" i="13" s="1"/>
  <c r="G32" i="13"/>
  <c r="I32" i="13" s="1"/>
  <c r="H19" i="7" l="1"/>
  <c r="H40"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75" i="5" l="1"/>
  <c r="J75" i="5" s="1"/>
  <c r="J65" i="5"/>
  <c r="J70" i="5"/>
  <c r="F101" i="2"/>
  <c r="F109" i="2"/>
  <c r="C109" i="2"/>
  <c r="D109" i="2"/>
  <c r="C101" i="2"/>
  <c r="G100" i="2"/>
  <c r="G101" i="2" s="1"/>
  <c r="D101" i="2"/>
  <c r="H109" i="2"/>
  <c r="C94" i="2"/>
  <c r="D94" i="2"/>
  <c r="F94" i="2"/>
  <c r="C83" i="2"/>
  <c r="D83" i="2"/>
  <c r="F83" i="2"/>
  <c r="G83" i="2"/>
  <c r="D72" i="2"/>
  <c r="F72" i="2"/>
  <c r="C72" i="2"/>
  <c r="G109" i="2"/>
  <c r="H94" i="2"/>
  <c r="H101" i="2"/>
  <c r="H72" i="2"/>
  <c r="G72" i="2"/>
  <c r="G94" i="2"/>
  <c r="H83" i="2"/>
  <c r="H59" i="5" l="1"/>
  <c r="J59" i="5" s="1"/>
  <c r="H81" i="5"/>
  <c r="J81" i="5" s="1"/>
  <c r="H60" i="5"/>
  <c r="J60" i="5" s="1"/>
  <c r="B61" i="8"/>
  <c r="B63" i="8"/>
  <c r="B65" i="8"/>
  <c r="H73" i="5"/>
  <c r="H79" i="5"/>
  <c r="H78" i="5" s="1"/>
  <c r="H58" i="5"/>
  <c r="J58" i="5" s="1"/>
  <c r="H68" i="5"/>
  <c r="H80" i="5"/>
  <c r="J80" i="5" s="1"/>
  <c r="H35" i="7"/>
  <c r="H27" i="7"/>
  <c r="I19" i="7"/>
  <c r="B61" i="2"/>
  <c r="H53" i="5" s="1"/>
  <c r="J53" i="5" s="1"/>
  <c r="C67" i="8" l="1"/>
  <c r="B67" i="8"/>
  <c r="C63" i="8"/>
  <c r="C65" i="8"/>
  <c r="B59" i="8"/>
  <c r="J69" i="5"/>
  <c r="J68" i="5" s="1"/>
  <c r="J74" i="5"/>
  <c r="J73" i="5" s="1"/>
  <c r="H52" i="5"/>
  <c r="J52" i="5" s="1"/>
  <c r="K19" i="7"/>
  <c r="I35" i="7"/>
  <c r="K35" i="7" s="1"/>
  <c r="I27" i="7"/>
  <c r="J79" i="5"/>
  <c r="J78" i="5" l="1"/>
  <c r="E67" i="8" s="1"/>
  <c r="B57" i="8"/>
  <c r="E65" i="8"/>
  <c r="E63" i="8"/>
  <c r="K27" i="7"/>
  <c r="C52" i="2"/>
  <c r="D52" i="2"/>
  <c r="B52" i="2"/>
  <c r="C45" i="2"/>
  <c r="D45" i="2"/>
  <c r="B45" i="2"/>
  <c r="B38" i="2"/>
  <c r="B27" i="2"/>
  <c r="H42" i="5" l="1"/>
  <c r="J42" i="5" s="1"/>
  <c r="H47" i="5"/>
  <c r="J47" i="5" s="1"/>
  <c r="C27" i="2"/>
  <c r="H31" i="5" s="1"/>
  <c r="J31" i="5" s="1"/>
  <c r="F27" i="2"/>
  <c r="D27" i="2"/>
  <c r="B40" i="8"/>
  <c r="B39" i="8"/>
  <c r="B38" i="8"/>
  <c r="H32" i="5" l="1"/>
  <c r="J32" i="5" s="1"/>
  <c r="H27" i="2"/>
  <c r="G27" i="2"/>
  <c r="H28" i="5" s="1"/>
  <c r="J28" i="5" s="1"/>
  <c r="H29" i="5" l="1"/>
  <c r="J29" i="5" s="1"/>
  <c r="H30" i="5"/>
  <c r="J30" i="5" s="1"/>
  <c r="H55" i="7" l="1"/>
  <c r="H54" i="7"/>
  <c r="H53" i="7"/>
  <c r="H51" i="7"/>
  <c r="H50" i="7"/>
  <c r="H49" i="7"/>
  <c r="H47" i="7"/>
  <c r="H46" i="7"/>
  <c r="H45" i="7"/>
  <c r="H43" i="7" s="1"/>
  <c r="I46" i="7" l="1"/>
  <c r="K46" i="7" l="1"/>
  <c r="G20" i="9" l="1"/>
  <c r="I20" i="9" s="1"/>
  <c r="G17" i="9"/>
  <c r="I17" i="9" s="1"/>
  <c r="G14" i="9"/>
  <c r="I14" i="9" l="1"/>
  <c r="I12" i="9" s="1"/>
  <c r="G12" i="9"/>
  <c r="D120" i="8"/>
  <c r="C28" i="14" l="1"/>
  <c r="C27" i="14"/>
  <c r="E27" i="14" s="1"/>
  <c r="C120" i="8"/>
  <c r="E120" i="8" l="1"/>
  <c r="E8" i="8" s="1"/>
  <c r="C29" i="14"/>
  <c r="D45" i="8" l="1"/>
  <c r="H16" i="7" l="1"/>
  <c r="B81" i="8" l="1"/>
  <c r="D108" i="8"/>
  <c r="D109" i="8"/>
  <c r="D110" i="8"/>
  <c r="D104" i="8"/>
  <c r="D105" i="8"/>
  <c r="D106" i="8"/>
  <c r="D100" i="8"/>
  <c r="D101" i="8"/>
  <c r="D102" i="8"/>
  <c r="D86" i="8"/>
  <c r="D87" i="8"/>
  <c r="D88" i="8"/>
  <c r="I16" i="7"/>
  <c r="C81" i="8" l="1"/>
  <c r="D80" i="8"/>
  <c r="D85" i="8"/>
  <c r="D90" i="8"/>
  <c r="D96" i="8" l="1"/>
  <c r="D103" i="8" l="1"/>
  <c r="D107" i="8"/>
  <c r="D99" i="8"/>
  <c r="D98" i="8" l="1"/>
  <c r="D75" i="8" s="1"/>
  <c r="B96" i="8" l="1"/>
  <c r="H36" i="7"/>
  <c r="H34" i="7"/>
  <c r="H32" i="7"/>
  <c r="B83" i="8" s="1"/>
  <c r="H28" i="7"/>
  <c r="H26" i="7"/>
  <c r="H24" i="7"/>
  <c r="B82" i="8" s="1"/>
  <c r="H20" i="7"/>
  <c r="H18" i="7"/>
  <c r="H29" i="7" l="1"/>
  <c r="I29" i="7" s="1"/>
  <c r="K29" i="7" s="1"/>
  <c r="H37" i="7"/>
  <c r="I37" i="7" s="1"/>
  <c r="K37" i="7" s="1"/>
  <c r="H21" i="7"/>
  <c r="I21" i="7" s="1"/>
  <c r="K21" i="7" s="1"/>
  <c r="B108" i="8"/>
  <c r="I47" i="7"/>
  <c r="C108" i="8" s="1"/>
  <c r="B106" i="8"/>
  <c r="I54" i="7"/>
  <c r="C106" i="8" s="1"/>
  <c r="B101" i="8"/>
  <c r="I49" i="7"/>
  <c r="C101" i="8" s="1"/>
  <c r="I50" i="7"/>
  <c r="C105" i="8" s="1"/>
  <c r="B105" i="8"/>
  <c r="I55" i="7"/>
  <c r="C110" i="8" s="1"/>
  <c r="B110" i="8"/>
  <c r="B86" i="8"/>
  <c r="I18" i="7"/>
  <c r="I45" i="7"/>
  <c r="I43" i="7" s="1"/>
  <c r="B100" i="8"/>
  <c r="B109" i="8"/>
  <c r="I51" i="7"/>
  <c r="C109" i="8" s="1"/>
  <c r="I20" i="7"/>
  <c r="B104" i="8"/>
  <c r="C104" i="8"/>
  <c r="B102" i="8"/>
  <c r="I53" i="7"/>
  <c r="C102" i="8" s="1"/>
  <c r="I32" i="7"/>
  <c r="C83" i="8" s="1"/>
  <c r="I34" i="7"/>
  <c r="C88" i="8" s="1"/>
  <c r="B88" i="8"/>
  <c r="I36" i="7"/>
  <c r="I26" i="7"/>
  <c r="C87" i="8" s="1"/>
  <c r="B87" i="8"/>
  <c r="I28" i="7"/>
  <c r="I24" i="7"/>
  <c r="C82" i="8" s="1"/>
  <c r="I40" i="7"/>
  <c r="K40" i="7" s="1"/>
  <c r="I13" i="7" l="1"/>
  <c r="H13" i="7"/>
  <c r="H10" i="7" s="1"/>
  <c r="C91" i="8"/>
  <c r="C93" i="8"/>
  <c r="B91" i="8"/>
  <c r="B93" i="8"/>
  <c r="C92" i="8"/>
  <c r="B92" i="8"/>
  <c r="C85" i="8"/>
  <c r="B85" i="8"/>
  <c r="C100" i="8"/>
  <c r="C86" i="8"/>
  <c r="B99" i="8"/>
  <c r="B80" i="8"/>
  <c r="B107" i="8"/>
  <c r="C80" i="8"/>
  <c r="B103" i="8"/>
  <c r="K55" i="7"/>
  <c r="E110" i="8" s="1"/>
  <c r="K18" i="7"/>
  <c r="K26" i="7"/>
  <c r="E104" i="8"/>
  <c r="K47" i="7"/>
  <c r="E108" i="8" s="1"/>
  <c r="K50" i="7"/>
  <c r="E105" i="8" s="1"/>
  <c r="K34" i="7"/>
  <c r="E88" i="8" s="1"/>
  <c r="K32" i="7"/>
  <c r="K49" i="7"/>
  <c r="E101" i="8" s="1"/>
  <c r="E96" i="8"/>
  <c r="C96" i="8"/>
  <c r="K54" i="7"/>
  <c r="E106" i="8" s="1"/>
  <c r="K24" i="7"/>
  <c r="E82" i="8" s="1"/>
  <c r="K20" i="7"/>
  <c r="E91" i="8" s="1"/>
  <c r="K51" i="7"/>
  <c r="E109" i="8" s="1"/>
  <c r="K28" i="7"/>
  <c r="E92" i="8" s="1"/>
  <c r="K36" i="7"/>
  <c r="E93" i="8" s="1"/>
  <c r="K53" i="7"/>
  <c r="E102" i="8" s="1"/>
  <c r="K45" i="7"/>
  <c r="K43" i="7" s="1"/>
  <c r="K16" i="7"/>
  <c r="C23" i="14" l="1"/>
  <c r="E23" i="14" s="1"/>
  <c r="I10" i="7"/>
  <c r="B98" i="8"/>
  <c r="E87" i="8"/>
  <c r="C21" i="14"/>
  <c r="E21" i="14" s="1"/>
  <c r="E81" i="8"/>
  <c r="E80" i="8" s="1"/>
  <c r="K13" i="7"/>
  <c r="C90" i="8"/>
  <c r="B90" i="8"/>
  <c r="E90" i="8"/>
  <c r="E86" i="8"/>
  <c r="E85" i="8" s="1"/>
  <c r="E83" i="8"/>
  <c r="E100" i="8"/>
  <c r="E99" i="8" s="1"/>
  <c r="C99" i="8"/>
  <c r="C107" i="8"/>
  <c r="E103" i="8"/>
  <c r="E107" i="8"/>
  <c r="C103" i="8"/>
  <c r="B75" i="8" l="1"/>
  <c r="K10" i="7"/>
  <c r="C98" i="8"/>
  <c r="C75" i="8" s="1"/>
  <c r="E98" i="8"/>
  <c r="E75" i="8" s="1"/>
  <c r="C30" i="2"/>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F52" i="2" l="1"/>
  <c r="H52" i="2"/>
  <c r="H45" i="2"/>
  <c r="F45" i="2"/>
  <c r="G45" i="2"/>
  <c r="G52" i="2"/>
  <c r="F38" i="2"/>
  <c r="D38" i="2"/>
  <c r="G30" i="2"/>
  <c r="G38" i="2" s="1"/>
  <c r="C38" i="2"/>
  <c r="H57" i="5"/>
  <c r="H51" i="5"/>
  <c r="H31" i="2"/>
  <c r="H38" i="2" s="1"/>
  <c r="H56" i="5" l="1"/>
  <c r="C59" i="8" s="1"/>
  <c r="H50" i="5"/>
  <c r="C57" i="8" s="1"/>
  <c r="H63" i="5"/>
  <c r="C61" i="8" s="1"/>
  <c r="H36" i="5"/>
  <c r="H13" i="5"/>
  <c r="H12" i="5" s="1"/>
  <c r="C47" i="8" l="1"/>
  <c r="H27" i="5"/>
  <c r="H26" i="5" s="1"/>
  <c r="C49" i="8" s="1"/>
  <c r="G26" i="5"/>
  <c r="H46" i="5"/>
  <c r="H45" i="5" s="1"/>
  <c r="C55" i="8" s="1"/>
  <c r="G45" i="5"/>
  <c r="H41" i="5"/>
  <c r="H40" i="5" s="1"/>
  <c r="C53" i="8" s="1"/>
  <c r="G40" i="5"/>
  <c r="B53" i="8" s="1"/>
  <c r="H37" i="5"/>
  <c r="G35" i="5"/>
  <c r="B51" i="8" s="1"/>
  <c r="J57" i="5"/>
  <c r="J56" i="5" s="1"/>
  <c r="J36" i="5"/>
  <c r="J64" i="5"/>
  <c r="J51" i="5"/>
  <c r="J50" i="5" s="1"/>
  <c r="J63" i="5" l="1"/>
  <c r="E61" i="8" s="1"/>
  <c r="B49" i="8"/>
  <c r="G11" i="5"/>
  <c r="J41" i="5"/>
  <c r="J40" i="5" s="1"/>
  <c r="E53" i="8" s="1"/>
  <c r="B55" i="8"/>
  <c r="J46" i="5"/>
  <c r="J45" i="5" s="1"/>
  <c r="E55" i="8" s="1"/>
  <c r="J37" i="5"/>
  <c r="J35" i="5" s="1"/>
  <c r="E51" i="8" s="1"/>
  <c r="H35" i="5"/>
  <c r="C51" i="8" s="1"/>
  <c r="E57" i="8"/>
  <c r="E59" i="8"/>
  <c r="J13" i="5"/>
  <c r="J12" i="5" s="1"/>
  <c r="J27" i="5"/>
  <c r="J26" i="5" s="1"/>
  <c r="E49" i="8" s="1"/>
  <c r="E45" i="8" l="1"/>
  <c r="H11" i="5"/>
  <c r="J11" i="5"/>
  <c r="J9" i="5" s="1"/>
  <c r="E47" i="8"/>
  <c r="C13" i="14" l="1"/>
  <c r="E13" i="14" s="1"/>
  <c r="E7" i="8" l="1"/>
  <c r="E22" i="14" l="1"/>
  <c r="F17" i="14" s="1"/>
  <c r="B45" i="8"/>
  <c r="C45" i="8" l="1"/>
  <c r="E6" i="8" l="1"/>
  <c r="E15" i="14" l="1"/>
  <c r="F8" i="14" s="1"/>
  <c r="E9" i="8"/>
  <c r="E10" i="8" s="1"/>
  <c r="F10" i="8" s="1"/>
  <c r="G30" i="13"/>
  <c r="I30" i="13" s="1"/>
  <c r="B49" i="13" l="1"/>
  <c r="G33" i="13"/>
  <c r="I33" i="13" s="1"/>
  <c r="G28" i="13"/>
  <c r="I28" i="13" s="1"/>
  <c r="G29" i="13"/>
  <c r="I29" i="13" s="1"/>
  <c r="B48" i="13" l="1"/>
  <c r="B47" i="13"/>
  <c r="G34" i="13"/>
  <c r="I34" i="13" s="1"/>
  <c r="B50" i="13" s="1"/>
  <c r="I43" i="13" l="1"/>
  <c r="I3" i="13" s="1"/>
  <c r="I44" i="13" l="1"/>
  <c r="I5" i="13" s="1"/>
  <c r="E29" i="14"/>
  <c r="E28" i="14"/>
  <c r="F26" i="14" l="1"/>
  <c r="E6" i="14" l="1"/>
  <c r="E4"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A86" authorId="0" shapeId="0" xr:uid="{FBA44162-C38A-4FB8-AB3F-D89FDF02A645}">
      <text>
        <r>
          <rPr>
            <b/>
            <sz val="9"/>
            <color indexed="81"/>
            <rFont val="Tahoma"/>
            <family val="2"/>
          </rPr>
          <t>Insert the amount of time taken to complete promotion activities in each of the environments namely Dev, Model, E2E &amp; Production.
If there are Power Builder or Oracle the Training Environment will need to be updated.  Estimate 8 hours for this effort.</t>
        </r>
      </text>
    </comment>
    <comment ref="A87" authorId="0" shapeId="0" xr:uid="{A90A9976-BF79-4F46-B182-1DDA7D0F7B83}">
      <text>
        <r>
          <rPr>
            <b/>
            <sz val="9"/>
            <color indexed="81"/>
            <rFont val="Tahoma"/>
            <family val="2"/>
          </rPr>
          <t>Insert the amount of time taken to complete System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2000000}">
      <text>
        <r>
          <rPr>
            <b/>
            <sz val="9"/>
            <color indexed="81"/>
            <rFont val="Tahoma"/>
            <family val="2"/>
          </rPr>
          <t>Enter any remaining hours needed for updating the BDD.</t>
        </r>
      </text>
    </comment>
    <comment ref="B15"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6"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17"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18"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19" authorId="3" shapeId="0" xr:uid="{00000000-0006-0000-0300-000007000000}">
      <text>
        <r>
          <rPr>
            <b/>
            <sz val="9"/>
            <color indexed="81"/>
            <rFont val="Tahoma"/>
            <family val="2"/>
          </rPr>
          <t>These hours are automatically calculated based on the number of test cases, iterations, complexity and BA experience level.</t>
        </r>
      </text>
    </comment>
    <comment ref="B20"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4" authorId="0" shapeId="0" xr:uid="{140B0E5E-46E9-422B-9647-1D076576DF14}">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25"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6"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7"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8"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2" authorId="0" shapeId="0" xr:uid="{FB9283C7-DEF1-4029-AFBE-9F68F5851533}">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33"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4"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5"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6"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0" authorId="0" shapeId="0" xr:uid="{00000000-0006-0000-0300-000018000000}">
      <text>
        <r>
          <rPr>
            <b/>
            <sz val="9"/>
            <color indexed="81"/>
            <rFont val="Tahoma"/>
            <family val="2"/>
          </rPr>
          <t>This task has been disabled. Add the number of regression test cases to the task "Write System Test Cases".</t>
        </r>
      </text>
    </comment>
    <comment ref="B45"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6"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7"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49"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0"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1"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3"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4"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5" authorId="0" shapeId="0" xr:uid="{00000000-0006-0000-0300-000021000000}">
      <text>
        <r>
          <rPr>
            <b/>
            <sz val="9"/>
            <color indexed="81"/>
            <rFont val="Tahoma"/>
            <family val="2"/>
          </rPr>
          <t>Enter an "x" in the column that best represents the projected complexity of the reference change validation.</t>
        </r>
      </text>
    </comment>
    <comment ref="A57" authorId="3" shapeId="0" xr:uid="{BD8E5797-7226-4EF8-9384-23C1B662CFD2}">
      <text>
        <r>
          <rPr>
            <b/>
            <sz val="9"/>
            <color indexed="81"/>
            <rFont val="Tahoma"/>
            <family val="2"/>
          </rPr>
          <t>Insert the amount of time needed to complete documenting the validation of System Documentation. Document the System Objects as listed in PWB (example: Job Scripts, ESCs, Programs, Windows, etc.) as well as any Subsystem pages on PWB, tables, user manuals, deployment instruction documents, procedural documentation, etc.</t>
        </r>
      </text>
    </comment>
    <comment ref="A62" authorId="3" shapeId="0" xr:uid="{941D6EDE-C4FC-4B1D-8C09-DBE90BE40EDC}">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 ref="A63" authorId="3" shapeId="0" xr:uid="{4A8989AA-83C7-49FD-AC0B-527CC923D3DB}">
      <text>
        <r>
          <rPr>
            <b/>
            <sz val="9"/>
            <color indexed="81"/>
            <rFont val="Tahoma"/>
            <family val="2"/>
          </rPr>
          <t>Insert the amount of time needed to create a Communication Plan.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Karen Weber</author>
  </authors>
  <commentList>
    <comment ref="A32" authorId="0" shapeId="0" xr:uid="{53912F93-6B09-4830-9892-12C1532F9343}">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A33" authorId="0" shapeId="0" xr:uid="{BBF3A367-CA49-4897-B56F-F0256F32BA7C}">
      <text>
        <r>
          <rPr>
            <b/>
            <sz val="9"/>
            <color indexed="81"/>
            <rFont val="Tahoma"/>
            <family val="2"/>
          </rPr>
          <t>Insert the amount of time it takes to develop the final estimate (reviewing the design and doing detailed analysis). The final estimate will be populated on the EstimateSummary worksheet based on the data entered by the SE and BA on the respective worksheets in this workbook. Team review of the estimate should be included on the Collaboration tab.</t>
        </r>
      </text>
    </comment>
  </commentList>
</comments>
</file>

<file path=xl/sharedStrings.xml><?xml version="1.0" encoding="utf-8"?>
<sst xmlns="http://schemas.openxmlformats.org/spreadsheetml/2006/main" count="826" uniqueCount="435">
  <si>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</si>
  <si>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</si>
  <si>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</si>
  <si>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</si>
  <si>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</si>
  <si>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</si>
  <si>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</si>
  <si>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</si>
  <si>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</si>
  <si>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</si>
  <si>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</si>
  <si>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</si>
  <si>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</si>
  <si>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</si>
  <si>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</si>
  <si>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</si>
  <si>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</si>
  <si>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</si>
  <si>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</si>
  <si>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</si>
  <si>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</si>
  <si>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</si>
  <si>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</si>
  <si>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</si>
  <si>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</si>
  <si>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</si>
  <si>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</si>
  <si>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</si>
  <si>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</si>
  <si>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</si>
  <si>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</si>
  <si>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</si>
  <si>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</si>
  <si>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</si>
  <si>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</si>
  <si>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</si>
  <si>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</si>
  <si>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</si>
  <si>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</si>
  <si>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</si>
  <si>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</si>
  <si>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</si>
  <si>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</si>
  <si>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</si>
  <si>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</si>
  <si>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</si>
  <si>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</si>
  <si>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</si>
  <si>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</si>
  <si>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</si>
  <si>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</si>
  <si>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</si>
  <si>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</si>
  <si>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</si>
  <si>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</si>
  <si>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</si>
  <si>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</si>
  <si>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</si>
  <si>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</si>
  <si>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</si>
  <si>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</si>
  <si>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</si>
  <si>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</si>
  <si>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</si>
  <si>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</si>
  <si>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</si>
  <si>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</si>
  <si>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</si>
  <si>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</si>
  <si>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</si>
  <si>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</si>
  <si>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</si>
  <si>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</si>
  <si>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</si>
  <si>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</si>
  <si>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</si>
  <si>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</si>
  <si>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</si>
  <si>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</si>
  <si>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</si>
  <si>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</si>
  <si>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</si>
  <si>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</si>
  <si>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</si>
  <si>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</si>
  <si>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</si>
  <si>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</si>
  <si>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</si>
  <si>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</si>
  <si>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</si>
  <si>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</si>
  <si>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</si>
  <si>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</si>
  <si>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</si>
  <si>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</si>
  <si>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</si>
  <si>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</si>
  <si>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</si>
  <si>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</si>
  <si>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</si>
  <si>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</si>
  <si>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</si>
  <si>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</si>
  <si>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</si>
  <si>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</si>
  <si>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</si>
  <si>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</si>
  <si>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</si>
  <si>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</si>
  <si>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</si>
  <si>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</si>
  <si>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</si>
  <si>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</si>
  <si>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</si>
  <si>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</si>
  <si>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</si>
  <si>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</si>
  <si>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</si>
  <si>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</si>
  <si>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</si>
  <si>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</si>
  <si>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</si>
  <si>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</si>
  <si>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</si>
  <si>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</si>
  <si>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</si>
  <si>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</si>
  <si>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</si>
  <si>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</si>
  <si>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</si>
  <si>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</si>
  <si>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</si>
  <si>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</si>
  <si>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</si>
  <si>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</si>
  <si>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</si>
  <si>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</si>
  <si>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</si>
  <si>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</si>
  <si>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</si>
  <si>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</si>
  <si>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</si>
  <si>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</si>
  <si>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</si>
  <si>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</si>
  <si>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</si>
  <si>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</si>
  <si>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</si>
  <si>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</si>
  <si>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</si>
  <si>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</si>
  <si>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</si>
  <si>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</si>
  <si>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</si>
  <si>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</si>
  <si>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</si>
  <si>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</si>
  <si>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</si>
  <si>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</si>
  <si>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</si>
  <si>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</si>
  <si>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</si>
  <si>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</si>
  <si>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</si>
  <si>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</si>
  <si>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</si>
  <si>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</si>
  <si>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</si>
  <si>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</si>
  <si>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</si>
  <si>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</si>
  <si>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</si>
  <si>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</si>
  <si>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</si>
  <si>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</si>
  <si>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</si>
  <si>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</si>
  <si>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</si>
  <si>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</si>
  <si>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</si>
  <si>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</si>
  <si>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</si>
  <si>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</si>
  <si>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</si>
  <si>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</si>
  <si>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</si>
  <si>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</si>
  <si>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</si>
  <si>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</si>
  <si>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</si>
  <si>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</si>
  <si>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</si>
  <si>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</si>
  <si>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</si>
  <si>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</si>
  <si>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</si>
  <si>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</si>
  <si>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</si>
  <si>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</si>
  <si>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</si>
  <si>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</si>
  <si>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</si>
  <si>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</si>
  <si>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</si>
  <si>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</si>
  <si>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</si>
  <si>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</si>
  <si>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</si>
  <si>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</si>
  <si>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</si>
  <si>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</si>
  <si>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</si>
  <si>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</si>
  <si>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</si>
  <si>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</si>
  <si>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</si>
  <si>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</si>
  <si>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</si>
  <si>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</si>
  <si>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</si>
  <si>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</si>
  <si>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</si>
  <si>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</si>
  <si>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</si>
  <si>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</si>
  <si>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</si>
  <si>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</si>
  <si>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</si>
  <si>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</si>
  <si>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</si>
  <si>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</si>
  <si>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</si>
  <si>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</si>
  <si>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</si>
  <si>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</si>
  <si>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</si>
  <si>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</si>
  <si>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</si>
  <si>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</si>
  <si>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</si>
  <si>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</si>
  <si>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</si>
  <si>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</si>
  <si>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</si>
  <si>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</si>
  <si>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Component Types</t>
  </si>
  <si>
    <t>Enter an "X" in the appropriate complexity column</t>
  </si>
  <si>
    <t>window 3</t>
  </si>
  <si>
    <t>report 1</t>
  </si>
  <si>
    <t>report 2</t>
  </si>
  <si>
    <t>report 3</t>
  </si>
  <si>
    <t>Person 4</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</si>
  <si>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</si>
  <si>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</si>
  <si>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</si>
  <si>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</si>
  <si>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</si>
  <si>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t>Project Manager</t>
  </si>
  <si>
    <t>Collaboration Hours</t>
  </si>
  <si>
    <t>Role</t>
  </si>
  <si>
    <t>BA</t>
  </si>
  <si>
    <t>SE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</si>
  <si>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</si>
  <si>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</si>
  <si>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</si>
  <si>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</si>
  <si>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</si>
  <si>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</si>
  <si>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</si>
  <si>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</si>
  <si>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Person 5</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</si>
  <si>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</si>
  <si>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</si>
  <si>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</si>
  <si>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</si>
  <si>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</si>
  <si>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</si>
  <si>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</si>
  <si>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</si>
  <si>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t>Person 3</t>
  </si>
  <si>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</si>
  <si>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</si>
  <si>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</si>
  <si>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</si>
  <si>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</si>
  <si>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</si>
  <si>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</si>
  <si>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</si>
  <si>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</si>
  <si>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</si>
  <si>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</si>
  <si>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</si>
  <si>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</si>
  <si>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</si>
  <si>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</si>
  <si>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</si>
  <si>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</si>
  <si>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</si>
  <si>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</si>
  <si>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</si>
  <si>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</si>
  <si>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</si>
  <si>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</si>
  <si>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</si>
  <si>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</si>
  <si>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</si>
  <si>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</si>
  <si>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</si>
  <si>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</si>
  <si>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</si>
  <si>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</si>
  <si>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</si>
  <si>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</si>
  <si>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</si>
  <si>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</si>
  <si>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</si>
  <si>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</si>
  <si>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</si>
  <si>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</si>
  <si>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</si>
  <si>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</si>
  <si>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</si>
  <si>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</si>
  <si>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</si>
  <si>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</si>
  <si>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</si>
  <si>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</si>
  <si>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</si>
  <si>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</si>
  <si>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</si>
  <si>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</si>
  <si>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</si>
  <si>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</si>
  <si>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</si>
  <si>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</si>
  <si>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</si>
  <si>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</si>
  <si>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</si>
  <si>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</si>
  <si>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</si>
  <si>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</si>
  <si>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</si>
  <si>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</si>
  <si>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</si>
  <si>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</si>
  <si>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</si>
  <si>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</si>
  <si>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</si>
  <si>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</si>
  <si>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</si>
  <si>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</si>
  <si>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</si>
  <si>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</si>
  <si>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</si>
  <si>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</si>
  <si>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</si>
  <si>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</si>
  <si>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Documenting System Documentation for Production Validation</t>
  </si>
  <si>
    <t>Production Validation Documentation</t>
  </si>
  <si>
    <t>Promotion (Includes Dev, Model, E2E, UAT, Prod &amp; Training Environment)</t>
  </si>
  <si>
    <t># Remaining Meetings/WPRs</t>
  </si>
  <si>
    <r>
      <t xml:space="preserve">Create Detail Estimate (hr)
</t>
    </r>
    <r>
      <rPr>
        <sz val="11"/>
        <color rgb="FFFF0000"/>
        <rFont val="HP Simplified"/>
      </rPr>
      <t>Insert the number of hours to create the Detailed Estimate.</t>
    </r>
  </si>
  <si>
    <r>
      <t xml:space="preserve">Create Final Estimate (hr)
</t>
    </r>
    <r>
      <rPr>
        <sz val="11"/>
        <color rgb="FFFF0000"/>
        <rFont val="HP Simplified"/>
      </rPr>
      <t>Insert the number of hours to create the Final Estimate.</t>
    </r>
  </si>
  <si>
    <t>Create Detailed and Final Estimates</t>
  </si>
  <si>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Test Results, Final Estimate and Production Validation WPR.</t>
    </r>
    <r>
      <rPr>
        <b/>
        <sz val="10"/>
        <rFont val="Arial"/>
        <family val="2"/>
      </rPr>
      <t xml:space="preserve">
</t>
    </r>
    <r>
      <rPr>
        <sz val="10"/>
        <color rgb="FFFF0000"/>
        <rFont val="Arial"/>
        <family val="2"/>
      </rPr>
      <t>Enter the number of remaining WPRs.  The average number of hours for WPRs from the Dtl Collaboration_Quality will be used to calculate the total.</t>
    </r>
  </si>
  <si>
    <r>
      <t xml:space="preserve">Internal Meetings </t>
    </r>
    <r>
      <rPr>
        <sz val="10"/>
        <rFont val="Arial"/>
        <family val="2"/>
      </rPr>
      <t xml:space="preserve">
</t>
    </r>
    <r>
      <rPr>
        <b/>
        <sz val="10"/>
        <color rgb="FFFF0000"/>
        <rFont val="Arial"/>
        <family val="2"/>
      </rPr>
      <t>Note:</t>
    </r>
    <r>
      <rPr>
        <sz val="10"/>
        <color rgb="FFFF0000"/>
        <rFont val="Arial"/>
        <family val="2"/>
      </rPr>
      <t xml:space="preserve"> Enter the number of remaining internal meetings.  The average number of hours for internal meetings from the Dtl Collaboration_Quality will be used to calculate the total.
</t>
    </r>
  </si>
  <si>
    <r>
      <t>Client Meetings</t>
    </r>
    <r>
      <rPr>
        <sz val="10"/>
        <rFont val="Arial"/>
        <family val="2"/>
      </rPr>
      <t xml:space="preserve">
</t>
    </r>
    <r>
      <rPr>
        <b/>
        <sz val="10"/>
        <color rgb="FFFF0000"/>
        <rFont val="Arial"/>
        <family val="2"/>
      </rPr>
      <t>Note:</t>
    </r>
    <r>
      <rPr>
        <sz val="10"/>
        <color rgb="FFFF0000"/>
        <rFont val="Arial"/>
        <family val="2"/>
      </rPr>
      <t xml:space="preserve"> Enter the number of remaining client meetings.  The average number of hours for client meetings from the Dtl Collaboration_Quality will be used to calculate the total.</t>
    </r>
  </si>
  <si>
    <t>Calculated Hours</t>
  </si>
  <si>
    <t>Task Type</t>
  </si>
  <si>
    <r>
      <t xml:space="preserve">Consultant/Mentor Effort
</t>
    </r>
    <r>
      <rPr>
        <sz val="10"/>
        <color rgb="FFFF0000"/>
        <rFont val="Arial"/>
        <family val="2"/>
      </rPr>
      <t xml:space="preserve">
Insert hours for Consultant and Mentors.</t>
    </r>
  </si>
  <si>
    <t>Communication Plan</t>
  </si>
  <si>
    <t>Project Management Hours</t>
  </si>
  <si>
    <t>Consultant/Mentor</t>
  </si>
  <si>
    <t>System Documentation (Includes but not limited to documenting for Production Validation, Erwin, System Objects)</t>
  </si>
  <si>
    <t>Number of Participants</t>
  </si>
  <si>
    <r>
      <t xml:space="preserve">Client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</si>
  <si>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Internal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</si>
  <si>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Automation Test Collaboration: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</si>
  <si>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WPRs:
</t>
    </r>
    <r>
      <rPr>
        <i/>
        <sz val="10"/>
        <color rgb="FFFF0000"/>
        <rFont val="Arial"/>
        <family val="2"/>
      </rPr>
      <t xml:space="preserve">9 WPRs (BRD (if applicable), Initial Estimate, BDD, Detailed Estimate, TDD, Code, Test Plan, Test Results and Production Validation) with an average of 5 participants, with 1 hour of prep time for each participant yields </t>
    </r>
    <r>
      <rPr>
        <b/>
        <i/>
        <sz val="10"/>
        <color rgb="FFFF0000"/>
        <rFont val="Arial"/>
        <family val="2"/>
      </rPr>
      <t>70 hours.</t>
    </r>
    <r>
      <rPr>
        <i/>
        <sz val="10"/>
        <color rgb="FFFF0000"/>
        <rFont val="Arial"/>
        <family val="2"/>
      </rPr>
      <t xml:space="preserve">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</si>
  <si>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Promotion (Includes E2E), SE System Documentation and BA System Documentation</t>
  </si>
  <si>
    <r>
      <t xml:space="preserve">Production Validation:
</t>
    </r>
    <r>
      <rPr>
        <b/>
        <i/>
        <sz val="10"/>
        <color rgb="FFFF0000"/>
        <rFont val="Arial"/>
        <family val="2"/>
      </rPr>
      <t>Default:</t>
    </r>
    <r>
      <rPr>
        <i/>
        <sz val="10"/>
        <color rgb="FFFF0000"/>
        <rFont val="Arial"/>
        <family val="2"/>
      </rPr>
      <t xml:space="preserve"> 20% of System Testing.</t>
    </r>
    <r>
      <rPr>
        <b/>
        <sz val="10"/>
        <rFont val="Arial"/>
        <family val="2"/>
      </rPr>
      <t xml:space="preserve">  
</t>
    </r>
    <r>
      <rPr>
        <sz val="10"/>
        <color rgb="FFFF0000"/>
        <rFont val="Arial"/>
        <family val="2"/>
      </rPr>
      <t xml:space="preserve">Include time for Documenting System Documentation </t>
    </r>
  </si>
  <si>
    <t>Promotion (Includes Dev, Model, E2E, UAT, Prod &amp; Training Environment) and System Documentation
Time is added to the Total in Dtl Estimate Summary</t>
  </si>
  <si>
    <t>Promotion (Includes Dev, Model, E2E, UAT, Prod &amp; Training Environment) and System Documentation</t>
  </si>
  <si>
    <t>System Documentation / Communication Plan</t>
  </si>
  <si>
    <r>
      <t xml:space="preserve">BA System Documentation / Communication Plan:
</t>
    </r>
    <r>
      <rPr>
        <b/>
        <i/>
        <sz val="10"/>
        <color rgb="FFFF0000"/>
        <rFont val="Arial"/>
        <family val="2"/>
      </rPr>
      <t xml:space="preserve">Default: </t>
    </r>
    <r>
      <rPr>
        <i/>
        <sz val="10"/>
        <color rgb="FFFF0000"/>
        <rFont val="Arial"/>
        <family val="2"/>
      </rPr>
      <t>5% of Development.</t>
    </r>
  </si>
  <si>
    <r>
      <t>System Documentation / Communication Plan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</si>
  <si>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t>BA System Documentation / Communication Plan</t>
  </si>
  <si>
    <t>Added</t>
  </si>
  <si>
    <t>Client Meetings / Internal Meetings / Automation Test Collaboration</t>
  </si>
  <si>
    <t>Broke out one row into three for each of these</t>
  </si>
  <si>
    <t>Consultant/Mentor Effort</t>
  </si>
  <si>
    <t>Total Actual Hours as of (Include hours for Initial Estimate)</t>
  </si>
  <si>
    <t>Time Spent on Estimates</t>
  </si>
  <si>
    <t>Removed Initial Estimate and made only one cell available to update</t>
  </si>
  <si>
    <t>Promotion</t>
  </si>
  <si>
    <t>Broke out Promotion activities and System Documentation into two rows</t>
  </si>
  <si>
    <t>Added verbiage to the Promotion description and the associated note to include Training Environment.</t>
  </si>
  <si>
    <t>Detailed Estimate</t>
  </si>
  <si>
    <t>Moved to Dtl Collaboration_Quality tab</t>
  </si>
  <si>
    <t>Regression testing</t>
  </si>
  <si>
    <t>Hid row because it was not to be used and added to the Write System Test Cases notes to include Regression Test cases.</t>
  </si>
  <si>
    <t>Documenting System Documenation for Production Validation</t>
  </si>
  <si>
    <t>Communiation Plan</t>
  </si>
  <si>
    <t>WPRs, Client Meetings &amp; Internal Meetings</t>
  </si>
  <si>
    <t>Removed proficiencies</t>
  </si>
  <si>
    <t>Project Manager Effort</t>
  </si>
  <si>
    <t>Final Estimate</t>
  </si>
  <si>
    <t>Added Communication Plan to descritpion</t>
  </si>
  <si>
    <t>Added # Remaining Meetings/WPRs and updated the formula to use this number instead of a hard coded value.</t>
  </si>
  <si>
    <t>Fixed formulas</t>
  </si>
  <si>
    <t>K2Workflow, K2 Smart Form &amp; Test Automation Suites (UFT)</t>
  </si>
  <si>
    <t>Participant Prep Time 
(In Mins)</t>
  </si>
  <si>
    <t>Meeting Duration 
(In Mins)</t>
  </si>
  <si>
    <t>Number of Meetings / WPRs</t>
  </si>
  <si>
    <t>Total Actual Hours as of (Include hours for Initial Estimate):</t>
  </si>
  <si>
    <t>Time for Estimates (Detailed and Final):</t>
  </si>
  <si>
    <r>
      <t xml:space="preserve">SE Promotion (Includes Dev, Model, E2E, UAT, Prod &amp; Training Environment) and System Documentation:
</t>
    </r>
    <r>
      <rPr>
        <b/>
        <i/>
        <sz val="10"/>
        <color rgb="FFFF0000"/>
        <rFont val="Arial"/>
        <family val="2"/>
      </rPr>
      <t xml:space="preserve">Default: </t>
    </r>
    <r>
      <rPr>
        <i/>
        <sz val="10"/>
        <color rgb="FFFF0000"/>
        <rFont val="Arial"/>
        <family val="2"/>
      </rPr>
      <t>5% of Development.</t>
    </r>
  </si>
  <si>
    <r>
      <t>Promotion (Includes Dev, Model, E2E, UAT, Prod &amp; Training Environment) and System Documentation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</si>
  <si>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Consultant/Mentor Effort
</t>
    </r>
    <r>
      <rPr>
        <sz val="11"/>
        <color rgb="FFFF0000"/>
        <rFont val="HP Simplified"/>
      </rPr>
      <t>Insert remaining</t>
    </r>
    <r>
      <rPr>
        <i/>
        <sz val="11"/>
        <color rgb="FFFF0000"/>
        <rFont val="HP Simplified"/>
      </rPr>
      <t xml:space="preserve"> consolidated </t>
    </r>
    <r>
      <rPr>
        <i/>
        <sz val="11"/>
        <color rgb="FFFF0000"/>
        <rFont val="HP Simplified"/>
        <family val="2"/>
      </rPr>
      <t>Consultant and Mentor hours.</t>
    </r>
  </si>
  <si>
    <t>CO 23810 003</t>
  </si>
  <si>
    <t>2.2.1</t>
  </si>
  <si>
    <t>YES</t>
  </si>
  <si>
    <t>Patrick Mulreany, Tracey Elias, Victor Jordan, Mario Castillon, Donna Anderson</t>
  </si>
  <si>
    <t>Victor Jordan</t>
  </si>
  <si>
    <t>T_TMP_TMSIS_CIP_HDR</t>
  </si>
  <si>
    <t>Donna Anderson, Tracey Elias</t>
  </si>
  <si>
    <t>X</t>
  </si>
  <si>
    <t>Testing is based on the following scenarios:
     • FFS positive and negative payment statuses
     • CHIP positive and negative payment statuses
     • CHIP FFS denied status
     • MA Managed Care (BH, PH, CHC) positive and negative payment statuses</t>
  </si>
  <si>
    <t>Row 18 - Additional hours added for financial cycles.</t>
  </si>
  <si>
    <t>Mario</t>
  </si>
  <si>
    <t>Tracey</t>
  </si>
  <si>
    <t>Meeting Walkthrough: WPR for BDD, TDD, Code, Test Plan, Test Results and Prod Val.</t>
  </si>
  <si>
    <t>Victor Jordan, Tracey Elias, Mario Castillon, Patrick Mulreany, Donna Anderson</t>
  </si>
  <si>
    <t>Row 31 - Hours increased to support SE promotion effort
Row 32 - Hours increased to support System Documentaion needed for this CO.
Row 40 - Hours added for mentoring BA and identifing test scenarios.
Row 42- Hours added for 5 people attending two 1 hr meetings.</t>
  </si>
  <si>
    <t>Rows 13 &amp; 14: Zeroed remaining hours because Coding, Unit Testing and System Testing are completed.
Row: 22:  System Documentation hours not carried over from Detailed Estimate.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</si>
</sst>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0.000"/>
    <numFmt numFmtId="165" formatCode=";;;"/>
    <numFmt numFmtId="166" formatCode="0.0"/>
  </numFmts>
  <fonts count="75">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FF0000"/>
      <name val="Calibri"/>
      <family val="2"/>
    </font>
    <font>
      <sz val="11"/>
      <color rgb="FFFF0000"/>
      <name val="HP Simplified"/>
    </font>
    <font>
      <i/>
      <sz val="11"/>
      <color rgb="FFFF0000"/>
      <name val="HP Simplified"/>
    </font>
  </fonts>
  <fills count="17">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diagonal/>
    </border>
  </borders>
  <cellStyleXfs count="12">
    <xf numFmtId="0" fontId="0" fillId="0" borderId="0"/>
    <xf numFmtId="43"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2" fillId="0" borderId="0"/>
    <xf numFmtId="43" fontId="2" fillId="0" borderId="0" applyFont="0" applyFill="0" applyBorder="0" applyAlignment="0" applyProtection="0"/>
    <xf numFmtId="0" fontId="2" fillId="3" borderId="0" applyNumberFormat="0" applyBorder="0" applyAlignment="0" applyProtection="0"/>
    <xf numFmtId="0" fontId="33" fillId="0" borderId="0"/>
    <xf numFmtId="43" fontId="33" fillId="0" borderId="0" applyFont="0" applyFill="0" applyBorder="0" applyAlignment="0" applyProtection="0"/>
    <xf numFmtId="0" fontId="34" fillId="2" borderId="0" applyNumberFormat="0" applyBorder="0" applyAlignment="0" applyProtection="0"/>
    <xf numFmtId="0" fontId="1" fillId="0" borderId="0"/>
  </cellStyleXfs>
  <cellXfs count="546">
    <xf numFmtId="0" fontId="0" fillId="0" borderId="0" xfId="0"/>
    <xf numFmtId="0" fontId="5" fillId="0" borderId="0" xfId="0" applyFont="1"/>
    <xf numFmtId="0" fontId="16" fillId="0" borderId="0" xfId="0" applyFont="1" applyAlignment="1">
      <alignment horizontal="right" vertical="top"/>
    </xf>
    <xf numFmtId="2" fontId="13" fillId="5" borderId="0" xfId="0" applyNumberFormat="1" applyFont="1" applyFill="1" applyAlignment="1">
      <alignment horizontal="center" vertical="center"/>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5" fillId="0" borderId="0" xfId="5" applyFont="1"/>
    <xf numFmtId="43" fontId="21" fillId="0" borderId="0" xfId="6" applyFont="1" applyProtection="1"/>
    <xf numFmtId="0" fontId="2" fillId="0" borderId="1" xfId="5" applyBorder="1"/>
    <xf numFmtId="0" fontId="2" fillId="0" borderId="0" xfId="5"/>
    <xf numFmtId="0" fontId="2" fillId="9" borderId="0" xfId="5" applyFill="1"/>
    <xf numFmtId="0" fontId="20" fillId="0" borderId="1" xfId="5" applyFont="1" applyBorder="1" applyAlignment="1">
      <alignment horizontal="left" vertical="top"/>
    </xf>
    <xf numFmtId="0" fontId="30" fillId="0" borderId="1" xfId="5" applyFont="1" applyBorder="1"/>
    <xf numFmtId="0" fontId="30" fillId="0" borderId="1" xfId="5" applyFont="1" applyBorder="1" applyAlignment="1">
      <alignment wrapText="1"/>
    </xf>
    <xf numFmtId="0" fontId="30" fillId="6" borderId="1" xfId="5" applyFont="1" applyFill="1" applyBorder="1"/>
    <xf numFmtId="2" fontId="2" fillId="0" borderId="1" xfId="5" applyNumberFormat="1" applyBorder="1" applyAlignment="1">
      <alignment horizontal="left" vertical="top"/>
    </xf>
    <xf numFmtId="2" fontId="2" fillId="6" borderId="1" xfId="5" applyNumberFormat="1" applyFill="1" applyBorder="1" applyAlignment="1">
      <alignment horizontal="left" vertical="top"/>
    </xf>
    <xf numFmtId="0" fontId="2" fillId="0" borderId="1" xfId="5" applyBorder="1" applyAlignment="1">
      <alignment horizontal="left" vertical="top"/>
    </xf>
    <xf numFmtId="0" fontId="2" fillId="0" borderId="1" xfId="5" applyBorder="1" applyAlignment="1">
      <alignment horizontal="left" vertical="top" wrapText="1"/>
    </xf>
    <xf numFmtId="2" fontId="21" fillId="0" borderId="1" xfId="6" applyNumberFormat="1" applyFont="1" applyFill="1" applyBorder="1" applyAlignment="1" applyProtection="1">
      <alignment horizontal="left" vertical="top" wrapText="1"/>
    </xf>
    <xf numFmtId="43" fontId="20" fillId="0" borderId="1" xfId="6" applyFont="1" applyFill="1" applyBorder="1" applyAlignment="1" applyProtection="1">
      <alignment horizontal="left" vertical="top" wrapText="1"/>
    </xf>
    <xf numFmtId="2" fontId="23" fillId="0" borderId="1" xfId="7" applyNumberFormat="1" applyFont="1" applyFill="1" applyBorder="1" applyAlignment="1" applyProtection="1">
      <alignment horizontal="left" vertical="top"/>
    </xf>
    <xf numFmtId="2" fontId="21" fillId="0" borderId="1" xfId="6" applyNumberFormat="1" applyFont="1" applyBorder="1" applyAlignment="1" applyProtection="1">
      <alignment horizontal="left" vertical="top" wrapText="1"/>
    </xf>
    <xf numFmtId="43" fontId="20" fillId="0" borderId="1" xfId="6" applyFont="1" applyBorder="1" applyAlignment="1" applyProtection="1">
      <alignment horizontal="left" vertical="top" wrapText="1"/>
    </xf>
    <xf numFmtId="0" fontId="5" fillId="0" borderId="0" xfId="0" applyFont="1" applyAlignment="1">
      <alignment vertical="top"/>
    </xf>
    <xf numFmtId="43" fontId="4" fillId="0" borderId="0" xfId="1" applyFont="1" applyProtection="1"/>
    <xf numFmtId="43" fontId="4" fillId="0" borderId="0" xfId="1" applyFont="1" applyAlignment="1" applyProtection="1">
      <alignment vertical="top" wrapText="1"/>
    </xf>
    <xf numFmtId="43"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43"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5" borderId="0" xfId="3" applyFont="1" applyFill="1" applyBorder="1" applyAlignment="1" applyProtection="1">
      <alignment horizontal="center" vertical="top"/>
    </xf>
    <xf numFmtId="0" fontId="39" fillId="5" borderId="0" xfId="3" applyFont="1" applyFill="1" applyBorder="1" applyAlignment="1" applyProtection="1">
      <alignment horizontal="center" vertical="top" wrapText="1"/>
    </xf>
    <xf numFmtId="43" fontId="44" fillId="0" borderId="0" xfId="0" applyNumberFormat="1" applyFont="1" applyAlignment="1">
      <alignment horizontal="right" vertical="top"/>
    </xf>
    <xf numFmtId="43" fontId="45" fillId="5" borderId="0" xfId="0" applyNumberFormat="1" applyFont="1" applyFill="1" applyAlignment="1">
      <alignment horizontal="right" vertical="top"/>
    </xf>
    <xf numFmtId="0" fontId="46" fillId="0" borderId="0" xfId="0" applyFont="1"/>
    <xf numFmtId="43" fontId="35" fillId="5" borderId="0" xfId="0" applyNumberFormat="1" applyFont="1" applyFill="1" applyAlignment="1">
      <alignment horizontal="right" vertical="top"/>
    </xf>
    <xf numFmtId="0" fontId="5" fillId="0" borderId="0" xfId="5"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43"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43" fontId="4" fillId="0" borderId="0" xfId="1" applyFont="1" applyAlignment="1" applyProtection="1">
      <alignment horizontal="left" indent="1"/>
    </xf>
    <xf numFmtId="164" fontId="4" fillId="0" borderId="0" xfId="0" applyNumberFormat="1" applyFont="1"/>
    <xf numFmtId="43" fontId="5" fillId="0" borderId="0" xfId="1" applyFont="1" applyProtection="1"/>
    <xf numFmtId="43" fontId="11" fillId="0" borderId="0" xfId="1" applyFont="1" applyFill="1" applyProtection="1"/>
    <xf numFmtId="43" fontId="5" fillId="0" borderId="0" xfId="1" applyFont="1" applyAlignment="1" applyProtection="1">
      <alignment wrapText="1"/>
    </xf>
    <xf numFmtId="43" fontId="5" fillId="0" borderId="0" xfId="1" applyFont="1" applyAlignment="1" applyProtection="1">
      <alignment horizontal="center"/>
    </xf>
    <xf numFmtId="43" fontId="5" fillId="0" borderId="0" xfId="9" applyFont="1" applyAlignment="1" applyProtection="1">
      <alignment horizontal="left" vertical="top" wrapText="1"/>
    </xf>
    <xf numFmtId="43" fontId="4" fillId="0" borderId="0" xfId="9" applyFont="1" applyAlignment="1" applyProtection="1">
      <alignment horizontal="left" vertical="top" wrapText="1" indent="1"/>
    </xf>
    <xf numFmtId="43" fontId="4" fillId="0" borderId="0" xfId="9" applyFont="1" applyAlignment="1" applyProtection="1">
      <alignment horizontal="left" vertical="top" wrapText="1"/>
    </xf>
    <xf numFmtId="43" fontId="4" fillId="0" borderId="0" xfId="9" applyFont="1" applyFill="1" applyAlignment="1" applyProtection="1">
      <alignment horizontal="left" vertical="top" wrapText="1" indent="1"/>
    </xf>
    <xf numFmtId="43" fontId="5" fillId="0" borderId="7" xfId="1" applyFont="1" applyBorder="1" applyProtection="1"/>
    <xf numFmtId="43" fontId="4" fillId="0" borderId="0" xfId="1" applyFont="1" applyFill="1" applyAlignment="1" applyProtection="1">
      <alignment horizontal="left" wrapText="1" indent="1"/>
    </xf>
    <xf numFmtId="43" fontId="5" fillId="0" borderId="0" xfId="1" applyFont="1" applyAlignment="1" applyProtection="1">
      <alignment horizontal="left" wrapText="1" indent="1"/>
    </xf>
    <xf numFmtId="43" fontId="4" fillId="0" borderId="2" xfId="1" applyFont="1" applyBorder="1" applyProtection="1"/>
    <xf numFmtId="43" fontId="5" fillId="0" borderId="0" xfId="1" applyFont="1" applyAlignment="1" applyProtection="1">
      <alignment horizontal="left" wrapText="1"/>
    </xf>
    <xf numFmtId="43" fontId="4" fillId="0" borderId="0" xfId="1" applyFont="1" applyAlignment="1" applyProtection="1"/>
    <xf numFmtId="43" fontId="4" fillId="0" borderId="0" xfId="1" applyFont="1" applyAlignment="1" applyProtection="1">
      <alignment horizontal="center"/>
    </xf>
    <xf numFmtId="9" fontId="4" fillId="0" borderId="0" xfId="2" applyFont="1" applyProtection="1"/>
    <xf numFmtId="43" fontId="4" fillId="0" borderId="2" xfId="1" applyFont="1" applyFill="1" applyBorder="1" applyProtection="1"/>
    <xf numFmtId="43" fontId="12" fillId="0" borderId="0" xfId="1" applyFont="1" applyFill="1" applyProtection="1"/>
    <xf numFmtId="43"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6" borderId="0" xfId="0" applyFont="1" applyFill="1" applyAlignment="1">
      <alignment horizontal="right" vertical="top"/>
    </xf>
    <xf numFmtId="43" fontId="4" fillId="6" borderId="0" xfId="1" applyFont="1" applyFill="1" applyProtection="1"/>
    <xf numFmtId="43" fontId="4" fillId="0" borderId="0" xfId="2" applyNumberFormat="1" applyFont="1" applyProtection="1"/>
    <xf numFmtId="43" fontId="4" fillId="0" borderId="0" xfId="1" applyFont="1" applyAlignment="1" applyProtection="1">
      <alignment horizontal="left" wrapText="1"/>
    </xf>
    <xf numFmtId="43" fontId="4" fillId="0" borderId="0" xfId="1" applyFont="1" applyAlignment="1" applyProtection="1">
      <alignment horizontal="left" wrapText="1" indent="2"/>
    </xf>
    <xf numFmtId="43" fontId="4" fillId="0" borderId="0" xfId="1" applyFont="1" applyBorder="1" applyProtection="1"/>
    <xf numFmtId="43" fontId="4" fillId="0" borderId="0" xfId="1" applyFont="1" applyAlignment="1" applyProtection="1">
      <alignment wrapText="1"/>
    </xf>
    <xf numFmtId="0" fontId="40" fillId="5" borderId="0" xfId="0" applyFont="1" applyFill="1" applyAlignment="1">
      <alignment horizontal="left" vertical="top"/>
    </xf>
    <xf numFmtId="43" fontId="40" fillId="5" borderId="0" xfId="0" applyNumberFormat="1" applyFont="1" applyFill="1" applyAlignment="1">
      <alignment horizontal="right" vertical="top"/>
    </xf>
    <xf numFmtId="43" fontId="21" fillId="0" borderId="0" xfId="0" applyNumberFormat="1" applyFont="1"/>
    <xf numFmtId="43" fontId="21" fillId="0" borderId="0" xfId="0" applyNumberFormat="1" applyFont="1" applyProtection="1">
      <protection locked="0"/>
    </xf>
    <xf numFmtId="43" fontId="0" fillId="0" borderId="0" xfId="0" applyNumberFormat="1"/>
    <xf numFmtId="0" fontId="4" fillId="0" borderId="0" xfId="5" applyFont="1" applyAlignment="1">
      <alignment horizontal="left" vertical="top" wrapText="1"/>
    </xf>
    <xf numFmtId="0" fontId="38" fillId="0" borderId="0" xfId="0" applyFont="1" applyAlignment="1">
      <alignment horizontal="left" vertical="top" wrapText="1"/>
    </xf>
    <xf numFmtId="0" fontId="38" fillId="0" borderId="0" xfId="5" applyFont="1" applyAlignment="1">
      <alignment vertical="top"/>
    </xf>
    <xf numFmtId="43" fontId="4" fillId="0" borderId="0" xfId="6" applyFont="1" applyAlignment="1" applyProtection="1">
      <alignment vertical="top"/>
    </xf>
    <xf numFmtId="0" fontId="35" fillId="0" borderId="0" xfId="5" applyFont="1" applyAlignment="1">
      <alignment vertical="top"/>
    </xf>
    <xf numFmtId="0" fontId="4" fillId="0" borderId="0" xfId="5" applyFont="1" applyAlignment="1">
      <alignment horizontal="left" vertical="top"/>
    </xf>
    <xf numFmtId="0" fontId="4" fillId="0" borderId="0" xfId="5" applyFont="1" applyAlignment="1">
      <alignment vertical="top"/>
    </xf>
    <xf numFmtId="0" fontId="5" fillId="0" borderId="0" xfId="5" applyFont="1" applyAlignment="1">
      <alignment vertical="top" wrapText="1"/>
    </xf>
    <xf numFmtId="0" fontId="5" fillId="0" borderId="29" xfId="5" applyFont="1" applyBorder="1" applyAlignment="1">
      <alignment horizontal="center" vertical="top"/>
    </xf>
    <xf numFmtId="0" fontId="24" fillId="0" borderId="30" xfId="5" applyFont="1" applyBorder="1" applyAlignment="1">
      <alignment horizontal="center" vertical="top"/>
    </xf>
    <xf numFmtId="0" fontId="24" fillId="0" borderId="31" xfId="5" applyFont="1" applyBorder="1" applyAlignment="1">
      <alignment horizontal="center" vertical="top"/>
    </xf>
    <xf numFmtId="0" fontId="38" fillId="0" borderId="32" xfId="5" applyFont="1" applyBorder="1" applyAlignment="1">
      <alignment vertical="top"/>
    </xf>
    <xf numFmtId="3" fontId="38" fillId="0" borderId="16" xfId="5" applyNumberFormat="1" applyFont="1" applyBorder="1" applyAlignment="1">
      <alignment vertical="top"/>
    </xf>
    <xf numFmtId="3" fontId="38" fillId="0" borderId="17" xfId="5" applyNumberFormat="1" applyFont="1" applyBorder="1" applyAlignment="1">
      <alignment vertical="top"/>
    </xf>
    <xf numFmtId="0" fontId="38" fillId="0" borderId="22" xfId="5" applyFont="1" applyBorder="1" applyAlignment="1">
      <alignment vertical="top"/>
    </xf>
    <xf numFmtId="3" fontId="38" fillId="0" borderId="1" xfId="5" applyNumberFormat="1" applyFont="1" applyBorder="1" applyAlignment="1">
      <alignment vertical="top"/>
    </xf>
    <xf numFmtId="3" fontId="38" fillId="0" borderId="24" xfId="5" applyNumberFormat="1" applyFont="1" applyBorder="1" applyAlignment="1">
      <alignment vertical="top"/>
    </xf>
    <xf numFmtId="3" fontId="4" fillId="0" borderId="24" xfId="5"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43"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41" fontId="37" fillId="0" borderId="0" xfId="4" applyNumberFormat="1" applyFont="1" applyFill="1" applyBorder="1" applyAlignment="1" applyProtection="1">
      <alignment horizontal="center" vertical="top"/>
    </xf>
    <xf numFmtId="43" fontId="4" fillId="0" borderId="0" xfId="0" applyNumberFormat="1" applyFont="1" applyAlignment="1">
      <alignment vertical="top"/>
    </xf>
    <xf numFmtId="41"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43" fontId="5" fillId="0" borderId="0" xfId="1" applyFont="1" applyBorder="1" applyAlignment="1" applyProtection="1">
      <alignment horizontal="center" vertical="top" wrapText="1"/>
    </xf>
    <xf numFmtId="43" fontId="5" fillId="0" borderId="0" xfId="1" quotePrefix="1" applyFont="1" applyBorder="1" applyAlignment="1" applyProtection="1">
      <alignment horizontal="center" vertical="top" wrapText="1"/>
    </xf>
    <xf numFmtId="43" fontId="5" fillId="0" borderId="0" xfId="1" applyFont="1" applyAlignment="1" applyProtection="1">
      <alignment horizontal="center" vertical="top" wrapText="1"/>
    </xf>
    <xf numFmtId="43" fontId="5" fillId="0" borderId="0" xfId="1" quotePrefix="1" applyFont="1" applyAlignment="1" applyProtection="1">
      <alignment horizontal="center" vertical="top" wrapText="1"/>
    </xf>
    <xf numFmtId="0" fontId="35" fillId="5"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43" fontId="5" fillId="0" borderId="0" xfId="1" applyFont="1" applyFill="1" applyAlignment="1" applyProtection="1">
      <alignment horizontal="center" vertical="top" wrapText="1"/>
    </xf>
    <xf numFmtId="43"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43"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41"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43"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5" borderId="0" xfId="0" applyFont="1" applyFill="1" applyAlignment="1">
      <alignment vertical="top"/>
    </xf>
    <xf numFmtId="0" fontId="35" fillId="5" borderId="0" xfId="0" applyFont="1" applyFill="1" applyAlignment="1">
      <alignment horizontal="center" vertical="top"/>
    </xf>
    <xf numFmtId="0" fontId="38" fillId="5" borderId="0" xfId="0" applyFont="1" applyFill="1" applyAlignment="1">
      <alignment horizontal="center" vertical="top"/>
    </xf>
    <xf numFmtId="2" fontId="38" fillId="5" borderId="0" xfId="0" applyNumberFormat="1" applyFont="1" applyFill="1" applyAlignment="1">
      <alignment horizontal="center" vertical="top"/>
    </xf>
    <xf numFmtId="165" fontId="4" fillId="0" borderId="0" xfId="0" applyNumberFormat="1" applyFont="1" applyAlignment="1">
      <alignment horizontal="center" vertical="top"/>
    </xf>
    <xf numFmtId="43" fontId="35" fillId="5" borderId="9" xfId="0" applyNumberFormat="1" applyFont="1" applyFill="1" applyBorder="1" applyAlignment="1">
      <alignment horizontal="right" vertical="top"/>
    </xf>
    <xf numFmtId="43" fontId="38" fillId="0" borderId="1" xfId="0" applyNumberFormat="1" applyFont="1" applyBorder="1" applyAlignment="1">
      <alignment vertical="top"/>
    </xf>
    <xf numFmtId="0" fontId="38" fillId="0" borderId="0" xfId="0" applyFont="1" applyAlignment="1" applyProtection="1">
      <alignment horizontal="left" vertical="top"/>
      <protection locked="0"/>
    </xf>
    <xf numFmtId="43" fontId="38" fillId="0" borderId="0" xfId="4" applyNumberFormat="1" applyFont="1" applyFill="1" applyBorder="1" applyAlignment="1" applyProtection="1">
      <alignment vertical="top"/>
      <protection locked="0"/>
    </xf>
    <xf numFmtId="43" fontId="38" fillId="0" borderId="0" xfId="0" applyNumberFormat="1" applyFont="1" applyAlignment="1">
      <alignment vertical="top"/>
    </xf>
    <xf numFmtId="43" fontId="38" fillId="0" borderId="0" xfId="0" applyNumberFormat="1" applyFont="1" applyAlignment="1" applyProtection="1">
      <alignment vertical="top"/>
      <protection locked="0"/>
    </xf>
    <xf numFmtId="43"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43" fontId="38" fillId="0" borderId="9" xfId="4" applyNumberFormat="1" applyFont="1" applyFill="1" applyBorder="1" applyAlignment="1" applyProtection="1">
      <alignment vertical="top"/>
      <protection locked="0"/>
    </xf>
    <xf numFmtId="43" fontId="38" fillId="0" borderId="9" xfId="0" applyNumberFormat="1" applyFont="1" applyBorder="1" applyAlignment="1">
      <alignment vertical="top"/>
    </xf>
    <xf numFmtId="43" fontId="38" fillId="0" borderId="9" xfId="0" applyNumberFormat="1" applyFont="1" applyBorder="1" applyAlignment="1" applyProtection="1">
      <alignment vertical="top"/>
      <protection locked="0"/>
    </xf>
    <xf numFmtId="43" fontId="17" fillId="0" borderId="9" xfId="0" applyNumberFormat="1" applyFont="1" applyBorder="1" applyAlignment="1">
      <alignment vertical="top"/>
    </xf>
    <xf numFmtId="43" fontId="35" fillId="5" borderId="5" xfId="0" applyNumberFormat="1" applyFont="1" applyFill="1" applyBorder="1" applyAlignment="1">
      <alignment horizontal="right" vertical="top"/>
    </xf>
    <xf numFmtId="43" fontId="38" fillId="0" borderId="20" xfId="0" applyNumberFormat="1" applyFont="1" applyBorder="1" applyAlignment="1">
      <alignment vertical="top"/>
    </xf>
    <xf numFmtId="0" fontId="5" fillId="0" borderId="0" xfId="0" applyFont="1" applyAlignment="1">
      <alignment horizontal="right" vertical="top"/>
    </xf>
    <xf numFmtId="43" fontId="38" fillId="5" borderId="0" xfId="0" applyNumberFormat="1" applyFont="1" applyFill="1" applyAlignment="1">
      <alignment horizontal="center" vertical="top"/>
    </xf>
    <xf numFmtId="0" fontId="35" fillId="5" borderId="1" xfId="0" applyFont="1" applyFill="1" applyBorder="1" applyAlignment="1">
      <alignment horizontal="center" vertical="top"/>
    </xf>
    <xf numFmtId="43" fontId="38" fillId="0" borderId="0" xfId="0" applyNumberFormat="1" applyFont="1" applyAlignment="1">
      <alignment horizontal="center" vertical="top"/>
    </xf>
    <xf numFmtId="0" fontId="38" fillId="0" borderId="18" xfId="0" applyFont="1" applyBorder="1" applyAlignment="1">
      <alignment vertical="top"/>
    </xf>
    <xf numFmtId="43" fontId="38" fillId="0" borderId="19" xfId="0" applyNumberFormat="1" applyFont="1" applyBorder="1" applyAlignment="1">
      <alignment horizontal="center" vertical="top"/>
    </xf>
    <xf numFmtId="0" fontId="38" fillId="0" borderId="1" xfId="0" applyFont="1" applyBorder="1" applyAlignment="1">
      <alignment horizontal="left" vertical="top"/>
    </xf>
    <xf numFmtId="43" fontId="38" fillId="0" borderId="24" xfId="0" applyNumberFormat="1" applyFont="1" applyBorder="1" applyAlignment="1">
      <alignment vertical="top"/>
    </xf>
    <xf numFmtId="43" fontId="38" fillId="0" borderId="19" xfId="0" applyNumberFormat="1" applyFont="1" applyBorder="1" applyAlignment="1">
      <alignment vertical="top"/>
    </xf>
    <xf numFmtId="0" fontId="35" fillId="5" borderId="12" xfId="0" applyFont="1" applyFill="1" applyBorder="1" applyAlignment="1">
      <alignment horizontal="center" vertical="top"/>
    </xf>
    <xf numFmtId="0" fontId="35" fillId="5" borderId="6" xfId="0" applyFont="1" applyFill="1" applyBorder="1" applyAlignment="1">
      <alignment horizontal="center" vertical="top"/>
    </xf>
    <xf numFmtId="0" fontId="35" fillId="5" borderId="13" xfId="0" applyFont="1" applyFill="1" applyBorder="1" applyAlignment="1">
      <alignment horizontal="center" vertical="top"/>
    </xf>
    <xf numFmtId="0" fontId="35" fillId="5" borderId="26" xfId="0" applyFont="1" applyFill="1" applyBorder="1" applyAlignment="1">
      <alignment horizontal="center" vertical="top"/>
    </xf>
    <xf numFmtId="0" fontId="35" fillId="5" borderId="27" xfId="0" applyFont="1" applyFill="1" applyBorder="1" applyAlignment="1">
      <alignment horizontal="center" vertical="top"/>
    </xf>
    <xf numFmtId="0" fontId="35" fillId="5" borderId="8" xfId="0" applyFont="1" applyFill="1" applyBorder="1" applyAlignment="1">
      <alignment horizontal="center" vertical="top"/>
    </xf>
    <xf numFmtId="0" fontId="35" fillId="5" borderId="9" xfId="0" applyFont="1" applyFill="1" applyBorder="1" applyAlignment="1">
      <alignment horizontal="center" vertical="top"/>
    </xf>
    <xf numFmtId="0" fontId="35" fillId="5" borderId="10" xfId="0" applyFont="1" applyFill="1" applyBorder="1" applyAlignment="1">
      <alignment horizontal="center" vertical="top"/>
    </xf>
    <xf numFmtId="0" fontId="38" fillId="5" borderId="18" xfId="0" applyFont="1" applyFill="1" applyBorder="1" applyAlignment="1">
      <alignment vertical="top"/>
    </xf>
    <xf numFmtId="43" fontId="38" fillId="5" borderId="19" xfId="0" applyNumberFormat="1" applyFont="1" applyFill="1" applyBorder="1" applyAlignment="1">
      <alignment horizontal="center" vertical="top"/>
    </xf>
    <xf numFmtId="43" fontId="38" fillId="5" borderId="0" xfId="0" applyNumberFormat="1" applyFont="1" applyFill="1" applyAlignment="1" applyProtection="1">
      <alignment horizontal="center" vertical="top"/>
      <protection locked="0"/>
    </xf>
    <xf numFmtId="0" fontId="38" fillId="0" borderId="36" xfId="0" applyFont="1" applyBorder="1" applyAlignment="1">
      <alignment vertical="top"/>
    </xf>
    <xf numFmtId="43" fontId="38" fillId="0" borderId="3" xfId="0" applyNumberFormat="1" applyFont="1" applyBorder="1" applyAlignment="1">
      <alignment vertical="top"/>
    </xf>
    <xf numFmtId="0" fontId="38" fillId="0" borderId="20" xfId="0" applyFont="1" applyBorder="1" applyAlignment="1">
      <alignment horizontal="left" vertical="top"/>
    </xf>
    <xf numFmtId="0" fontId="35" fillId="5" borderId="11" xfId="0" applyFont="1" applyFill="1" applyBorder="1" applyAlignment="1">
      <alignment horizontal="center" vertical="top"/>
    </xf>
    <xf numFmtId="0" fontId="35" fillId="5" borderId="21" xfId="0" applyFont="1" applyFill="1" applyBorder="1" applyAlignment="1">
      <alignment horizontal="center" vertical="top"/>
    </xf>
    <xf numFmtId="0" fontId="38" fillId="0" borderId="11" xfId="0" applyFont="1" applyBorder="1" applyAlignment="1">
      <alignment vertical="top"/>
    </xf>
    <xf numFmtId="43" fontId="38" fillId="0" borderId="25" xfId="0" applyNumberFormat="1" applyFont="1" applyBorder="1" applyAlignment="1">
      <alignmen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5"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1" borderId="0" xfId="3" applyFont="1" applyFill="1" applyBorder="1" applyAlignment="1" applyProtection="1">
      <alignment vertical="top"/>
    </xf>
    <xf numFmtId="0" fontId="41" fillId="11" borderId="0" xfId="3" applyFont="1" applyFill="1" applyBorder="1" applyAlignment="1" applyProtection="1">
      <alignment vertical="top"/>
    </xf>
    <xf numFmtId="0" fontId="36" fillId="11" borderId="0" xfId="3" applyFont="1" applyFill="1" applyBorder="1" applyAlignment="1" applyProtection="1">
      <alignment horizontal="left" vertical="top"/>
    </xf>
    <xf numFmtId="0" fontId="36" fillId="11" borderId="0" xfId="3" applyFont="1" applyFill="1" applyBorder="1" applyAlignment="1" applyProtection="1">
      <alignment horizontal="left" vertical="top" wrapText="1"/>
    </xf>
    <xf numFmtId="0" fontId="40" fillId="11" borderId="0" xfId="3" applyFont="1" applyFill="1" applyBorder="1" applyAlignment="1" applyProtection="1">
      <alignment horizontal="center" vertical="top" wrapText="1"/>
    </xf>
    <xf numFmtId="0" fontId="40" fillId="11" borderId="0" xfId="3" applyFont="1" applyFill="1" applyBorder="1" applyAlignment="1" applyProtection="1">
      <alignment horizontal="center" vertical="top"/>
    </xf>
    <xf numFmtId="0" fontId="49" fillId="11" borderId="0" xfId="0" applyFont="1" applyFill="1" applyAlignment="1">
      <alignment vertical="top"/>
    </xf>
    <xf numFmtId="0" fontId="40" fillId="11" borderId="0" xfId="0" applyFont="1" applyFill="1" applyAlignment="1">
      <alignment vertical="top"/>
    </xf>
    <xf numFmtId="43" fontId="40" fillId="11" borderId="1" xfId="4" applyNumberFormat="1" applyFont="1" applyFill="1" applyBorder="1" applyAlignment="1" applyProtection="1">
      <alignment vertical="top"/>
    </xf>
    <xf numFmtId="0" fontId="40" fillId="11" borderId="0" xfId="0" applyFont="1" applyFill="1" applyAlignment="1">
      <alignment horizontal="left" vertical="top"/>
    </xf>
    <xf numFmtId="43" fontId="40" fillId="11" borderId="0" xfId="0" applyNumberFormat="1" applyFont="1" applyFill="1" applyAlignment="1">
      <alignment horizontal="right" vertical="top"/>
    </xf>
    <xf numFmtId="0" fontId="40" fillId="12" borderId="0" xfId="3" applyFont="1" applyFill="1" applyBorder="1" applyAlignment="1" applyProtection="1">
      <alignment horizontal="right" vertical="top" wrapText="1"/>
    </xf>
    <xf numFmtId="0" fontId="41" fillId="12" borderId="0" xfId="3" applyFont="1" applyFill="1" applyBorder="1" applyAlignment="1" applyProtection="1">
      <alignment horizontal="right" vertical="top" wrapText="1"/>
    </xf>
    <xf numFmtId="0" fontId="6" fillId="12" borderId="0" xfId="3" applyFont="1" applyFill="1" applyBorder="1" applyAlignment="1" applyProtection="1">
      <alignment horizontal="right" vertical="top"/>
    </xf>
    <xf numFmtId="0" fontId="6" fillId="12" borderId="0" xfId="3" applyFont="1" applyFill="1" applyBorder="1" applyAlignment="1" applyProtection="1">
      <alignment horizontal="right" vertical="top" wrapText="1"/>
    </xf>
    <xf numFmtId="43" fontId="37" fillId="0" borderId="4" xfId="4" applyNumberFormat="1" applyFont="1" applyFill="1" applyBorder="1" applyAlignment="1" applyProtection="1">
      <alignment horizontal="right" vertical="top"/>
    </xf>
    <xf numFmtId="0" fontId="40" fillId="11" borderId="0" xfId="5" applyFont="1" applyFill="1" applyAlignment="1">
      <alignment horizontal="right" vertical="top"/>
    </xf>
    <xf numFmtId="0" fontId="40" fillId="11" borderId="1" xfId="5" applyFont="1" applyFill="1" applyBorder="1" applyAlignment="1">
      <alignment horizontal="left" vertical="top" wrapText="1"/>
    </xf>
    <xf numFmtId="0" fontId="4" fillId="0" borderId="0" xfId="5" applyFont="1" applyAlignment="1" applyProtection="1">
      <alignment horizontal="center" vertical="top" wrapText="1"/>
      <protection locked="0"/>
    </xf>
    <xf numFmtId="0" fontId="40" fillId="11" borderId="0" xfId="3" applyFont="1" applyFill="1" applyBorder="1" applyAlignment="1" applyProtection="1">
      <alignment horizontal="left" vertical="top"/>
    </xf>
    <xf numFmtId="43" fontId="40" fillId="14" borderId="16" xfId="4" applyNumberFormat="1" applyFont="1" applyFill="1" applyBorder="1" applyAlignment="1" applyProtection="1">
      <alignment vertical="top"/>
    </xf>
    <xf numFmtId="43" fontId="40" fillId="14" borderId="17" xfId="4" applyNumberFormat="1" applyFont="1" applyFill="1" applyBorder="1" applyAlignment="1" applyProtection="1">
      <alignment vertical="top"/>
    </xf>
    <xf numFmtId="43" fontId="37" fillId="15" borderId="28" xfId="4" applyNumberFormat="1" applyFont="1" applyFill="1" applyBorder="1" applyAlignment="1" applyProtection="1">
      <alignment horizontal="center" vertical="top"/>
    </xf>
    <xf numFmtId="43" fontId="38" fillId="13" borderId="1" xfId="0" applyNumberFormat="1" applyFont="1" applyFill="1" applyBorder="1" applyAlignment="1" applyProtection="1">
      <alignment vertical="top"/>
      <protection locked="0"/>
    </xf>
    <xf numFmtId="43" fontId="38" fillId="13" borderId="36" xfId="0" applyNumberFormat="1" applyFont="1" applyFill="1" applyBorder="1" applyAlignment="1" applyProtection="1">
      <alignment vertical="top"/>
      <protection locked="0"/>
    </xf>
    <xf numFmtId="43" fontId="38" fillId="13" borderId="37" xfId="4" applyNumberFormat="1" applyFont="1" applyFill="1" applyBorder="1" applyAlignment="1" applyProtection="1">
      <alignment vertical="top"/>
      <protection locked="0"/>
    </xf>
    <xf numFmtId="43" fontId="38" fillId="13" borderId="1" xfId="4" applyNumberFormat="1" applyFont="1" applyFill="1" applyBorder="1" applyAlignment="1" applyProtection="1">
      <alignment vertical="top"/>
      <protection locked="0"/>
    </xf>
    <xf numFmtId="0" fontId="38" fillId="13" borderId="37" xfId="0" applyFont="1" applyFill="1" applyBorder="1" applyAlignment="1" applyProtection="1">
      <alignment horizontal="left" vertical="top"/>
      <protection locked="0"/>
    </xf>
    <xf numFmtId="0" fontId="38" fillId="13" borderId="1" xfId="0" applyFont="1" applyFill="1" applyBorder="1" applyAlignment="1" applyProtection="1">
      <alignment horizontal="left" vertical="top"/>
      <protection locked="0"/>
    </xf>
    <xf numFmtId="43" fontId="38" fillId="13" borderId="37" xfId="0" applyNumberFormat="1" applyFont="1" applyFill="1" applyBorder="1" applyAlignment="1" applyProtection="1">
      <alignment vertical="top"/>
      <protection locked="0"/>
    </xf>
    <xf numFmtId="0" fontId="38" fillId="13" borderId="1" xfId="4" applyFont="1" applyFill="1" applyBorder="1" applyAlignment="1" applyProtection="1">
      <alignment vertical="top"/>
      <protection locked="0"/>
    </xf>
    <xf numFmtId="0" fontId="41" fillId="11" borderId="0" xfId="3" applyFont="1" applyFill="1" applyBorder="1" applyAlignment="1" applyProtection="1">
      <alignment horizontal="left" vertical="top"/>
    </xf>
    <xf numFmtId="0" fontId="50" fillId="14" borderId="14" xfId="0" applyFont="1" applyFill="1" applyBorder="1" applyAlignment="1">
      <alignment vertical="top"/>
    </xf>
    <xf numFmtId="0" fontId="40" fillId="14" borderId="15" xfId="0" applyFont="1" applyFill="1" applyBorder="1" applyAlignment="1">
      <alignment horizontal="left" vertical="top"/>
    </xf>
    <xf numFmtId="0" fontId="50" fillId="14" borderId="15" xfId="0" applyFont="1" applyFill="1" applyBorder="1" applyAlignment="1">
      <alignment vertical="top"/>
    </xf>
    <xf numFmtId="0" fontId="40" fillId="11" borderId="27" xfId="0" applyFont="1" applyFill="1" applyBorder="1" applyAlignment="1">
      <alignment horizontal="center" vertical="top" wrapText="1"/>
    </xf>
    <xf numFmtId="0" fontId="40" fillId="14" borderId="0" xfId="3" applyFont="1" applyFill="1" applyBorder="1" applyAlignment="1" applyProtection="1">
      <alignment vertical="top"/>
    </xf>
    <xf numFmtId="0" fontId="40" fillId="14" borderId="0" xfId="0" applyFont="1" applyFill="1" applyAlignment="1">
      <alignment horizontal="left" vertical="top"/>
    </xf>
    <xf numFmtId="43" fontId="40" fillId="14" borderId="0" xfId="0" applyNumberFormat="1" applyFont="1" applyFill="1" applyAlignment="1">
      <alignment horizontal="right" vertical="top"/>
    </xf>
    <xf numFmtId="0" fontId="40" fillId="0" borderId="0" xfId="0" applyFont="1" applyAlignment="1">
      <alignment horizontal="left" vertical="top"/>
    </xf>
    <xf numFmtId="43" fontId="40" fillId="0" borderId="0" xfId="0" applyNumberFormat="1" applyFont="1" applyAlignment="1">
      <alignment horizontal="right" vertical="top"/>
    </xf>
    <xf numFmtId="0" fontId="35" fillId="5" borderId="1" xfId="5" applyFont="1" applyFill="1" applyBorder="1" applyAlignment="1">
      <alignment vertical="top"/>
    </xf>
    <xf numFmtId="0" fontId="5" fillId="5" borderId="1" xfId="5" applyFont="1" applyFill="1" applyBorder="1" applyAlignment="1">
      <alignment horizontal="left" vertical="top" wrapText="1"/>
    </xf>
    <xf numFmtId="0" fontId="5" fillId="13" borderId="1" xfId="5" applyFont="1" applyFill="1" applyBorder="1" applyAlignment="1" applyProtection="1">
      <alignment horizontal="right" vertical="top"/>
      <protection locked="0"/>
    </xf>
    <xf numFmtId="0" fontId="4" fillId="13" borderId="1" xfId="5" applyFont="1" applyFill="1" applyBorder="1" applyAlignment="1" applyProtection="1">
      <alignment horizontal="right" vertical="top"/>
      <protection locked="0"/>
    </xf>
    <xf numFmtId="0" fontId="6" fillId="5" borderId="1" xfId="5" applyFont="1" applyFill="1" applyBorder="1" applyAlignment="1">
      <alignment horizontal="right" vertical="top"/>
    </xf>
    <xf numFmtId="43" fontId="6" fillId="5" borderId="1" xfId="4" applyNumberFormat="1" applyFont="1" applyFill="1" applyBorder="1" applyAlignment="1" applyProtection="1">
      <alignment vertical="top"/>
    </xf>
    <xf numFmtId="0" fontId="22" fillId="11" borderId="0" xfId="3" quotePrefix="1" applyFont="1" applyFill="1" applyBorder="1" applyAlignment="1" applyProtection="1">
      <alignment horizontal="left" vertical="top"/>
    </xf>
    <xf numFmtId="0" fontId="15" fillId="11" borderId="0" xfId="3" applyFont="1" applyFill="1" applyBorder="1" applyAlignment="1" applyProtection="1">
      <alignment horizontal="left" vertical="top"/>
    </xf>
    <xf numFmtId="0" fontId="22" fillId="11" borderId="0" xfId="3" applyFont="1" applyFill="1" applyBorder="1" applyAlignment="1" applyProtection="1">
      <alignment horizontal="left" vertical="top" wrapText="1"/>
    </xf>
    <xf numFmtId="0" fontId="14" fillId="11" borderId="0" xfId="3" applyFont="1" applyFill="1" applyBorder="1" applyAlignment="1" applyProtection="1">
      <alignment horizontal="center" vertical="top" wrapText="1"/>
    </xf>
    <xf numFmtId="0" fontId="14" fillId="11" borderId="0" xfId="3" applyFont="1" applyFill="1" applyBorder="1" applyAlignment="1" applyProtection="1">
      <alignment horizontal="center" vertical="top"/>
    </xf>
    <xf numFmtId="0" fontId="14" fillId="11" borderId="0" xfId="3" applyFont="1" applyFill="1" applyBorder="1" applyAlignment="1" applyProtection="1">
      <alignment vertical="top" wrapText="1"/>
    </xf>
    <xf numFmtId="0" fontId="56" fillId="14" borderId="0" xfId="3" applyFont="1" applyFill="1" applyBorder="1" applyAlignment="1" applyProtection="1">
      <alignment vertical="top"/>
    </xf>
    <xf numFmtId="0" fontId="56" fillId="14" borderId="0" xfId="3" applyFont="1" applyFill="1" applyBorder="1" applyAlignment="1" applyProtection="1">
      <alignment vertical="top" wrapText="1"/>
    </xf>
    <xf numFmtId="0" fontId="36" fillId="14" borderId="0" xfId="3" applyFont="1" applyFill="1" applyBorder="1" applyAlignment="1" applyProtection="1">
      <alignment vertical="top"/>
    </xf>
    <xf numFmtId="43" fontId="56" fillId="14" borderId="0" xfId="3" applyNumberFormat="1" applyFont="1" applyFill="1" applyBorder="1" applyAlignment="1" applyProtection="1">
      <alignment vertical="top"/>
    </xf>
    <xf numFmtId="43" fontId="56" fillId="14" borderId="0" xfId="3" applyNumberFormat="1" applyFont="1" applyFill="1" applyBorder="1" applyAlignment="1" applyProtection="1">
      <alignment horizontal="right" vertical="top"/>
    </xf>
    <xf numFmtId="0" fontId="40" fillId="14" borderId="0" xfId="3" applyFont="1" applyFill="1" applyBorder="1" applyAlignment="1" applyProtection="1">
      <alignment horizontal="left" vertical="top"/>
    </xf>
    <xf numFmtId="0" fontId="40" fillId="14" borderId="0" xfId="3" applyFont="1" applyFill="1" applyBorder="1" applyAlignment="1" applyProtection="1">
      <alignment horizontal="center" vertical="top"/>
    </xf>
    <xf numFmtId="43" fontId="61" fillId="14" borderId="1" xfId="6" applyFont="1" applyFill="1" applyBorder="1" applyAlignment="1" applyProtection="1">
      <alignment horizontal="left" wrapText="1"/>
    </xf>
    <xf numFmtId="0" fontId="10" fillId="14" borderId="1" xfId="5" applyFont="1" applyFill="1" applyBorder="1"/>
    <xf numFmtId="0" fontId="59" fillId="14" borderId="1" xfId="5" applyFont="1" applyFill="1" applyBorder="1"/>
    <xf numFmtId="43" fontId="40" fillId="14" borderId="1" xfId="4" applyNumberFormat="1" applyFont="1" applyFill="1" applyBorder="1" applyAlignment="1" applyProtection="1">
      <alignment vertical="top"/>
    </xf>
    <xf numFmtId="2" fontId="56" fillId="14" borderId="0" xfId="3" applyNumberFormat="1" applyFont="1" applyFill="1" applyBorder="1" applyAlignment="1" applyProtection="1">
      <alignment vertical="top"/>
    </xf>
    <xf numFmtId="0" fontId="63" fillId="11" borderId="0" xfId="3" applyFont="1" applyFill="1" applyBorder="1" applyAlignment="1" applyProtection="1">
      <alignment vertical="top" wrapText="1"/>
    </xf>
    <xf numFmtId="1" fontId="55" fillId="6" borderId="1" xfId="4" applyNumberFormat="1" applyFont="1" applyFill="1" applyBorder="1" applyAlignment="1" applyProtection="1">
      <alignment horizontal="center" vertical="top"/>
    </xf>
    <xf numFmtId="0" fontId="35" fillId="5" borderId="1" xfId="5" applyFont="1" applyFill="1" applyBorder="1" applyAlignment="1">
      <alignment horizontal="center" vertical="center"/>
    </xf>
    <xf numFmtId="0" fontId="36" fillId="11" borderId="1" xfId="3" applyFont="1" applyFill="1" applyBorder="1" applyAlignment="1" applyProtection="1">
      <alignment horizontal="left" vertical="top"/>
    </xf>
    <xf numFmtId="1" fontId="47" fillId="11" borderId="4" xfId="6" applyNumberFormat="1" applyFont="1" applyFill="1" applyBorder="1" applyAlignment="1" applyProtection="1">
      <alignment horizontal="center" vertical="top"/>
      <protection locked="0"/>
    </xf>
    <xf numFmtId="1" fontId="47" fillId="11" borderId="3" xfId="6" applyNumberFormat="1" applyFont="1" applyFill="1" applyBorder="1" applyAlignment="1" applyProtection="1">
      <alignment horizontal="center" vertical="top"/>
      <protection locked="0"/>
    </xf>
    <xf numFmtId="0" fontId="64" fillId="12" borderId="1" xfId="5" applyFont="1" applyFill="1" applyBorder="1" applyAlignment="1">
      <alignment vertical="top"/>
    </xf>
    <xf numFmtId="0" fontId="58" fillId="0" borderId="0" xfId="0" applyFont="1" applyAlignment="1">
      <alignment horizontal="left" vertical="top" wrapText="1"/>
    </xf>
    <xf numFmtId="166" fontId="4" fillId="0" borderId="0" xfId="0" quotePrefix="1" applyNumberFormat="1" applyFont="1" applyAlignment="1">
      <alignment horizontal="left" vertical="top"/>
    </xf>
    <xf numFmtId="43" fontId="37" fillId="10" borderId="1" xfId="4" applyNumberFormat="1" applyFont="1" applyFill="1" applyBorder="1" applyAlignment="1" applyProtection="1">
      <alignment horizontal="right" vertical="top"/>
    </xf>
    <xf numFmtId="0" fontId="63" fillId="14" borderId="0" xfId="0" applyFont="1" applyFill="1" applyAlignment="1">
      <alignment vertical="top"/>
    </xf>
    <xf numFmtId="0" fontId="35" fillId="0" borderId="22" xfId="0" applyFont="1" applyBorder="1" applyAlignment="1">
      <alignment vertical="top"/>
    </xf>
    <xf numFmtId="49" fontId="35" fillId="5" borderId="0" xfId="0" applyNumberFormat="1" applyFont="1" applyFill="1" applyAlignment="1">
      <alignment horizontal="center" vertical="center"/>
    </xf>
    <xf numFmtId="43" fontId="38" fillId="13" borderId="1" xfId="0" applyNumberFormat="1" applyFont="1" applyFill="1" applyBorder="1" applyAlignment="1" applyProtection="1">
      <alignment horizontal="center" vertical="center"/>
      <protection locked="0"/>
    </xf>
    <xf numFmtId="0" fontId="40" fillId="14" borderId="0" xfId="3" applyFont="1" applyFill="1" applyBorder="1" applyAlignment="1" applyProtection="1">
      <alignment vertical="top" wrapText="1"/>
    </xf>
    <xf numFmtId="0" fontId="40" fillId="14" borderId="0" xfId="3" applyFont="1" applyFill="1" applyBorder="1" applyAlignment="1" applyProtection="1">
      <alignment horizontal="right" vertical="top"/>
    </xf>
    <xf numFmtId="0" fontId="6" fillId="0" borderId="0" xfId="0" applyFont="1"/>
    <xf numFmtId="43" fontId="37" fillId="13" borderId="1" xfId="4" applyNumberFormat="1" applyFont="1" applyFill="1" applyBorder="1" applyAlignment="1" applyProtection="1">
      <alignment horizontal="right" vertical="top"/>
      <protection locked="0"/>
    </xf>
    <xf numFmtId="0" fontId="0" fillId="0" borderId="0" xfId="0" applyAlignment="1">
      <alignment vertical="center"/>
    </xf>
    <xf numFmtId="0" fontId="14" fillId="11"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43" fontId="21" fillId="0" borderId="0" xfId="0" applyNumberFormat="1" applyFont="1" applyAlignment="1">
      <alignment vertical="center"/>
    </xf>
    <xf numFmtId="43" fontId="13" fillId="0" borderId="0" xfId="4" applyNumberFormat="1" applyFont="1" applyFill="1" applyBorder="1" applyAlignment="1" applyProtection="1">
      <alignment horizontal="center" vertical="center"/>
      <protection locked="0"/>
    </xf>
    <xf numFmtId="43" fontId="0" fillId="0" borderId="0" xfId="0" applyNumberFormat="1" applyAlignment="1">
      <alignment vertical="center"/>
    </xf>
    <xf numFmtId="0" fontId="0" fillId="11" borderId="0" xfId="0" applyFill="1"/>
    <xf numFmtId="0" fontId="0" fillId="11" borderId="0" xfId="0" applyFill="1" applyAlignment="1">
      <alignment vertical="center"/>
    </xf>
    <xf numFmtId="0" fontId="38" fillId="0" borderId="26" xfId="0" applyFont="1" applyBorder="1" applyAlignment="1" applyProtection="1">
      <alignment horizontal="left" vertical="top"/>
      <protection locked="0"/>
    </xf>
    <xf numFmtId="49" fontId="38" fillId="13" borderId="1" xfId="5" applyNumberFormat="1" applyFont="1" applyFill="1" applyBorder="1" applyAlignment="1" applyProtection="1">
      <alignment horizontal="right" vertical="top" wrapText="1"/>
      <protection locked="0"/>
    </xf>
    <xf numFmtId="0" fontId="38" fillId="13" borderId="1" xfId="5" applyFont="1" applyFill="1" applyBorder="1" applyAlignment="1" applyProtection="1">
      <alignment horizontal="left" vertical="top" wrapText="1"/>
      <protection locked="0"/>
    </xf>
    <xf numFmtId="0" fontId="38" fillId="13" borderId="1" xfId="5" applyFont="1" applyFill="1" applyBorder="1" applyAlignment="1" applyProtection="1">
      <alignment horizontal="left" vertical="top"/>
      <protection locked="0"/>
    </xf>
    <xf numFmtId="0" fontId="38" fillId="13" borderId="1" xfId="5" applyFont="1" applyFill="1" applyBorder="1" applyAlignment="1" applyProtection="1">
      <alignment horizontal="center" vertical="center"/>
      <protection locked="0"/>
    </xf>
    <xf numFmtId="0" fontId="38" fillId="4" borderId="1" xfId="5" applyFont="1" applyFill="1" applyBorder="1" applyAlignment="1" applyProtection="1">
      <alignment vertical="top"/>
      <protection locked="0"/>
    </xf>
    <xf numFmtId="0" fontId="38" fillId="5" borderId="1" xfId="5" applyFont="1" applyFill="1" applyBorder="1" applyAlignment="1" applyProtection="1">
      <alignment vertical="top"/>
      <protection locked="0"/>
    </xf>
    <xf numFmtId="0" fontId="38" fillId="0" borderId="0" xfId="5" applyFont="1" applyAlignment="1" applyProtection="1">
      <alignment vertical="top"/>
      <protection locked="0"/>
    </xf>
    <xf numFmtId="0" fontId="58" fillId="0" borderId="0" xfId="5" applyFont="1" applyAlignment="1" applyProtection="1">
      <alignment vertical="top"/>
      <protection locked="0"/>
    </xf>
    <xf numFmtId="0" fontId="4" fillId="0" borderId="0" xfId="0" applyFont="1" applyAlignment="1" applyProtection="1">
      <alignment vertical="top"/>
      <protection locked="0"/>
    </xf>
    <xf numFmtId="43" fontId="17" fillId="0" borderId="0" xfId="0" applyNumberFormat="1" applyFont="1" applyAlignment="1" applyProtection="1">
      <alignment vertical="top"/>
      <protection locked="0"/>
    </xf>
    <xf numFmtId="0" fontId="0" fillId="0" borderId="0" xfId="0" applyProtection="1">
      <protection locked="0"/>
    </xf>
    <xf numFmtId="0" fontId="40" fillId="14" borderId="15" xfId="0" applyFont="1" applyFill="1" applyBorder="1" applyAlignment="1">
      <alignment horizontal="left" vertical="top" wrapText="1"/>
    </xf>
    <xf numFmtId="0" fontId="47" fillId="5" borderId="1" xfId="5" applyFont="1" applyFill="1" applyBorder="1" applyAlignment="1">
      <alignment horizontal="left" vertical="top" wrapText="1"/>
    </xf>
    <xf numFmtId="0" fontId="4" fillId="5" borderId="1" xfId="5" applyFont="1" applyFill="1" applyBorder="1" applyAlignment="1">
      <alignment horizontal="left" vertical="top" wrapText="1"/>
    </xf>
    <xf numFmtId="0" fontId="41" fillId="11" borderId="1" xfId="5" applyFont="1" applyFill="1" applyBorder="1" applyAlignment="1">
      <alignment horizontal="left" vertical="top" wrapText="1"/>
    </xf>
    <xf numFmtId="0" fontId="7" fillId="5" borderId="1" xfId="5" applyFont="1" applyFill="1" applyBorder="1" applyAlignment="1">
      <alignment horizontal="left" vertical="top" wrapText="1"/>
    </xf>
    <xf numFmtId="0" fontId="66" fillId="14" borderId="0" xfId="3" applyFont="1" applyFill="1" applyBorder="1" applyAlignment="1" applyProtection="1">
      <alignment vertical="top" wrapText="1"/>
    </xf>
    <xf numFmtId="43" fontId="38" fillId="13" borderId="20" xfId="0" applyNumberFormat="1" applyFont="1" applyFill="1" applyBorder="1" applyAlignment="1" applyProtection="1">
      <alignment vertical="top"/>
      <protection locked="0"/>
    </xf>
    <xf numFmtId="2" fontId="38" fillId="0" borderId="1" xfId="5" applyNumberFormat="1" applyFont="1" applyBorder="1" applyAlignment="1">
      <alignment vertical="top"/>
    </xf>
    <xf numFmtId="2" fontId="49" fillId="11" borderId="1" xfId="5" applyNumberFormat="1" applyFont="1" applyFill="1" applyBorder="1" applyAlignment="1">
      <alignment vertical="top"/>
    </xf>
    <xf numFmtId="43" fontId="38" fillId="0" borderId="37" xfId="0" applyNumberFormat="1" applyFont="1" applyBorder="1" applyAlignment="1">
      <alignment vertical="top"/>
    </xf>
    <xf numFmtId="43" fontId="38" fillId="0" borderId="36" xfId="0" applyNumberFormat="1" applyFont="1" applyBorder="1" applyAlignment="1">
      <alignment vertical="top"/>
    </xf>
    <xf numFmtId="0" fontId="0" fillId="0" borderId="0" xfId="0" applyAlignment="1">
      <alignment vertical="top"/>
    </xf>
    <xf numFmtId="43" fontId="35" fillId="5"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6" borderId="1" xfId="0" applyFont="1" applyFill="1" applyBorder="1" applyAlignment="1">
      <alignment horizontal="center" vertical="top"/>
    </xf>
    <xf numFmtId="0" fontId="70" fillId="6"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71" fillId="16" borderId="1" xfId="0" applyFont="1" applyFill="1" applyBorder="1" applyAlignment="1">
      <alignment vertical="top"/>
    </xf>
    <xf numFmtId="0" fontId="17" fillId="16" borderId="1" xfId="0" applyFont="1" applyFill="1" applyBorder="1" applyAlignment="1">
      <alignment vertical="top"/>
    </xf>
    <xf numFmtId="0" fontId="0" fillId="16" borderId="1" xfId="0" applyFill="1" applyBorder="1"/>
    <xf numFmtId="0" fontId="4" fillId="0" borderId="1" xfId="0" applyFont="1" applyBorder="1" applyAlignment="1">
      <alignment vertical="top"/>
    </xf>
    <xf numFmtId="0" fontId="4" fillId="0" borderId="1" xfId="0" applyFont="1" applyBorder="1" applyAlignment="1">
      <alignment vertical="top" wrapText="1"/>
    </xf>
    <xf numFmtId="0" fontId="72" fillId="0" borderId="0" xfId="0" applyFont="1" applyAlignment="1">
      <alignment horizontal="center" vertical="center"/>
    </xf>
    <xf numFmtId="2" fontId="4" fillId="13" borderId="1" xfId="5" applyNumberFormat="1" applyFont="1" applyFill="1" applyBorder="1" applyAlignment="1" applyProtection="1">
      <alignment horizontal="center" vertical="top"/>
      <protection locked="0"/>
    </xf>
    <xf numFmtId="2" fontId="38" fillId="10" borderId="1" xfId="5" applyNumberFormat="1" applyFont="1" applyFill="1" applyBorder="1" applyAlignment="1">
      <alignment horizontal="center" vertical="top"/>
    </xf>
    <xf numFmtId="2" fontId="38" fillId="5" borderId="1" xfId="5" applyNumberFormat="1" applyFont="1" applyFill="1" applyBorder="1" applyAlignment="1">
      <alignment horizontal="center" vertical="top"/>
    </xf>
    <xf numFmtId="43" fontId="6" fillId="5" borderId="26" xfId="4" applyNumberFormat="1" applyFont="1" applyFill="1" applyBorder="1" applyAlignment="1" applyProtection="1">
      <alignment vertical="top"/>
    </xf>
    <xf numFmtId="43" fontId="38" fillId="0" borderId="26" xfId="0" applyNumberFormat="1" applyFont="1" applyBorder="1" applyAlignment="1">
      <alignment vertical="top"/>
    </xf>
    <xf numFmtId="0" fontId="35" fillId="0" borderId="40" xfId="0" applyFont="1" applyBorder="1" applyAlignment="1">
      <alignment vertical="top"/>
    </xf>
    <xf numFmtId="0" fontId="38" fillId="0" borderId="37" xfId="0" applyFont="1" applyBorder="1" applyAlignment="1">
      <alignment horizontal="left" vertical="top"/>
    </xf>
    <xf numFmtId="43" fontId="38" fillId="0" borderId="41" xfId="0" applyNumberFormat="1" applyFont="1" applyBorder="1" applyAlignment="1">
      <alignment vertical="top"/>
    </xf>
    <xf numFmtId="2" fontId="38" fillId="5" borderId="4" xfId="0" applyNumberFormat="1" applyFont="1" applyFill="1" applyBorder="1" applyAlignment="1">
      <alignment horizontal="center" vertical="top"/>
    </xf>
    <xf numFmtId="2" fontId="38" fillId="5" borderId="5" xfId="0" applyNumberFormat="1" applyFont="1" applyFill="1" applyBorder="1" applyAlignment="1">
      <alignment horizontal="center" vertical="top"/>
    </xf>
    <xf numFmtId="49" fontId="35" fillId="5" borderId="5" xfId="0" applyNumberFormat="1" applyFont="1" applyFill="1" applyBorder="1" applyAlignment="1">
      <alignment horizontal="center" vertical="center"/>
    </xf>
    <xf numFmtId="43" fontId="38" fillId="5" borderId="5" xfId="0" applyNumberFormat="1" applyFont="1" applyFill="1" applyBorder="1" applyAlignment="1">
      <alignment horizontal="center" vertical="top"/>
    </xf>
    <xf numFmtId="43" fontId="38" fillId="13" borderId="25" xfId="0" applyNumberFormat="1" applyFont="1" applyFill="1" applyBorder="1" applyAlignment="1" applyProtection="1">
      <alignment vertical="top"/>
      <protection locked="0"/>
    </xf>
    <xf numFmtId="2" fontId="14" fillId="14" borderId="1" xfId="4" applyNumberFormat="1" applyFont="1" applyFill="1" applyBorder="1" applyAlignment="1" applyProtection="1">
      <alignment horizontal="center" vertical="center"/>
    </xf>
    <xf numFmtId="14" fontId="4" fillId="13" borderId="4" xfId="5" applyNumberFormat="1" applyFont="1" applyFill="1" applyBorder="1" applyAlignment="1" applyProtection="1">
      <alignment vertical="top"/>
      <protection locked="0"/>
    </xf>
    <xf numFmtId="0" fontId="5" fillId="5" borderId="1" xfId="0" applyFont="1" applyFill="1" applyBorder="1" applyAlignment="1">
      <alignment horizontal="left" vertical="top" wrapText="1"/>
    </xf>
    <xf numFmtId="43" fontId="17" fillId="13" borderId="1" xfId="4" applyNumberFormat="1" applyFont="1" applyFill="1" applyBorder="1" applyAlignment="1" applyProtection="1">
      <alignment horizontal="center" vertical="center"/>
      <protection locked="0"/>
    </xf>
    <xf numFmtId="2" fontId="4" fillId="12" borderId="1" xfId="5" applyNumberFormat="1" applyFont="1" applyFill="1" applyBorder="1" applyAlignment="1">
      <alignment vertical="center"/>
    </xf>
    <xf numFmtId="43" fontId="0" fillId="0" borderId="1" xfId="0" applyNumberFormat="1" applyBorder="1" applyAlignment="1">
      <alignment vertical="center"/>
    </xf>
    <xf numFmtId="0" fontId="0" fillId="0" borderId="1" xfId="0" applyBorder="1" applyAlignment="1">
      <alignment vertical="center"/>
    </xf>
    <xf numFmtId="2" fontId="4" fillId="10" borderId="1" xfId="5" applyNumberFormat="1" applyFont="1" applyFill="1" applyBorder="1" applyAlignment="1">
      <alignment horizontal="right" vertical="center"/>
    </xf>
    <xf numFmtId="0" fontId="4" fillId="5" borderId="1" xfId="0" applyFont="1" applyFill="1" applyBorder="1" applyAlignment="1">
      <alignment horizontal="left" vertical="top" wrapText="1"/>
    </xf>
    <xf numFmtId="2" fontId="4" fillId="12" borderId="1" xfId="5" applyNumberFormat="1" applyFont="1" applyFill="1" applyBorder="1" applyAlignment="1">
      <alignment horizontal="right" vertical="center"/>
    </xf>
    <xf numFmtId="0" fontId="0" fillId="0" borderId="4" xfId="0" applyBorder="1"/>
    <xf numFmtId="0" fontId="0" fillId="0" borderId="3" xfId="0" applyBorder="1" applyAlignment="1">
      <alignment vertical="center"/>
    </xf>
    <xf numFmtId="0" fontId="0" fillId="0" borderId="12" xfId="0" applyBorder="1"/>
    <xf numFmtId="2" fontId="4" fillId="0" borderId="6" xfId="5" applyNumberFormat="1" applyFont="1" applyBorder="1" applyAlignment="1">
      <alignment horizontal="right" vertical="top"/>
    </xf>
    <xf numFmtId="0" fontId="11" fillId="11" borderId="1" xfId="5" applyFont="1" applyFill="1" applyBorder="1" applyAlignment="1">
      <alignment horizontal="center" vertical="top" wrapText="1"/>
    </xf>
    <xf numFmtId="0" fontId="14" fillId="14" borderId="0" xfId="0" applyFont="1" applyFill="1" applyAlignment="1">
      <alignment horizontal="right" vertical="center"/>
    </xf>
    <xf numFmtId="0" fontId="14" fillId="14" borderId="27" xfId="0" applyFont="1" applyFill="1" applyBorder="1" applyAlignment="1">
      <alignment horizontal="right" vertical="center"/>
    </xf>
    <xf numFmtId="0" fontId="40" fillId="11" borderId="1" xfId="5" applyFont="1" applyFill="1" applyBorder="1" applyAlignment="1">
      <alignment horizontal="center" vertical="top" wrapText="1"/>
    </xf>
    <xf numFmtId="0" fontId="5" fillId="0" borderId="1" xfId="0" applyFont="1" applyBorder="1" applyAlignment="1">
      <alignment vertical="top"/>
    </xf>
    <xf numFmtId="0" fontId="5" fillId="0" borderId="1" xfId="0" applyFont="1" applyBorder="1" applyAlignment="1">
      <alignment horizontal="left" vertical="top"/>
    </xf>
    <xf numFmtId="43" fontId="38" fillId="13" borderId="1" xfId="0" applyNumberFormat="1" applyFont="1" applyFill="1" applyBorder="1" applyAlignment="1" applyProtection="1">
      <alignment horizontal="center" vertical="top"/>
      <protection locked="0"/>
    </xf>
    <xf numFmtId="0" fontId="16" fillId="0" borderId="32" xfId="0" applyFont="1" applyBorder="1" applyAlignment="1">
      <alignment horizontal="left" vertical="center" wrapText="1"/>
    </xf>
    <xf numFmtId="0" fontId="14" fillId="0" borderId="15" xfId="0" applyFont="1" applyBorder="1" applyAlignment="1">
      <alignment horizontal="right" vertical="center"/>
    </xf>
    <xf numFmtId="0" fontId="21" fillId="0" borderId="15" xfId="0" applyFont="1" applyBorder="1"/>
    <xf numFmtId="43" fontId="21" fillId="0" borderId="16" xfId="0" applyNumberFormat="1" applyFont="1" applyBorder="1" applyAlignment="1">
      <alignment vertical="center"/>
    </xf>
    <xf numFmtId="43" fontId="38" fillId="13" borderId="43" xfId="0" applyNumberFormat="1" applyFont="1" applyFill="1" applyBorder="1" applyAlignment="1" applyProtection="1">
      <alignment vertical="center"/>
      <protection locked="0"/>
    </xf>
    <xf numFmtId="43" fontId="21" fillId="0" borderId="17" xfId="0" applyNumberFormat="1" applyFont="1" applyBorder="1" applyAlignment="1">
      <alignment vertical="center"/>
    </xf>
    <xf numFmtId="0" fontId="21" fillId="0" borderId="23" xfId="0" applyFont="1" applyBorder="1" applyAlignment="1">
      <alignment wrapText="1"/>
    </xf>
    <xf numFmtId="0" fontId="21" fillId="0" borderId="11" xfId="0" applyFont="1" applyBorder="1"/>
    <xf numFmtId="43" fontId="38" fillId="13" borderId="20" xfId="0" applyNumberFormat="1" applyFont="1" applyFill="1" applyBorder="1" applyAlignment="1" applyProtection="1">
      <alignment vertical="center"/>
      <protection locked="0"/>
    </xf>
    <xf numFmtId="43" fontId="21" fillId="0" borderId="20" xfId="0" applyNumberFormat="1" applyFont="1" applyBorder="1" applyAlignment="1">
      <alignment vertical="center"/>
    </xf>
    <xf numFmtId="43" fontId="38" fillId="13" borderId="34" xfId="0" applyNumberFormat="1" applyFont="1" applyFill="1" applyBorder="1" applyAlignment="1" applyProtection="1">
      <alignment vertical="center"/>
      <protection locked="0"/>
    </xf>
    <xf numFmtId="43" fontId="21" fillId="0" borderId="25" xfId="0" applyNumberFormat="1" applyFont="1" applyBorder="1" applyAlignment="1">
      <alignment vertical="center"/>
    </xf>
    <xf numFmtId="0" fontId="21" fillId="0" borderId="11" xfId="0" applyFont="1" applyBorder="1" applyProtection="1">
      <protection locked="0"/>
    </xf>
    <xf numFmtId="0" fontId="0" fillId="0" borderId="15" xfId="0" applyBorder="1"/>
    <xf numFmtId="2" fontId="14" fillId="14" borderId="17" xfId="4" applyNumberFormat="1" applyFont="1" applyFill="1" applyBorder="1" applyAlignment="1" applyProtection="1">
      <alignment horizontal="center" vertical="center"/>
    </xf>
    <xf numFmtId="43" fontId="38" fillId="13" borderId="24" xfId="0" applyNumberFormat="1" applyFont="1" applyFill="1" applyBorder="1" applyAlignment="1" applyProtection="1">
      <alignment horizontal="center" vertical="center"/>
      <protection locked="0"/>
    </xf>
    <xf numFmtId="43" fontId="38" fillId="13" borderId="25" xfId="0" applyNumberFormat="1" applyFont="1" applyFill="1" applyBorder="1" applyAlignment="1" applyProtection="1">
      <alignment horizontal="center" vertical="center"/>
      <protection locked="0"/>
    </xf>
    <xf numFmtId="0" fontId="0" fillId="0" borderId="11" xfId="0" applyBorder="1"/>
    <xf numFmtId="0" fontId="0" fillId="0" borderId="46" xfId="0" applyBorder="1"/>
    <xf numFmtId="43" fontId="38" fillId="13" borderId="31" xfId="0" applyNumberFormat="1" applyFont="1" applyFill="1" applyBorder="1" applyAlignment="1" applyProtection="1">
      <alignment horizontal="center" vertical="center"/>
      <protection locked="0"/>
    </xf>
    <xf numFmtId="43" fontId="38" fillId="13" borderId="24" xfId="0" applyNumberFormat="1" applyFont="1" applyFill="1" applyBorder="1" applyAlignment="1" applyProtection="1">
      <alignment vertical="top"/>
      <protection locked="0"/>
    </xf>
    <xf numFmtId="43" fontId="38" fillId="5" borderId="47" xfId="0" applyNumberFormat="1" applyFont="1" applyFill="1" applyBorder="1" applyAlignment="1">
      <alignment horizontal="center" vertical="top"/>
    </xf>
    <xf numFmtId="0" fontId="35" fillId="0" borderId="0" xfId="0" applyFont="1" applyAlignment="1">
      <alignment horizontal="center" vertical="top"/>
    </xf>
    <xf numFmtId="0" fontId="35" fillId="0" borderId="1" xfId="0" applyFont="1" applyBorder="1" applyAlignment="1">
      <alignment horizontal="left" vertical="top"/>
    </xf>
    <xf numFmtId="0" fontId="35" fillId="0" borderId="1" xfId="0" applyFont="1" applyBorder="1" applyAlignment="1">
      <alignment vertical="top"/>
    </xf>
    <xf numFmtId="43" fontId="38" fillId="0" borderId="20" xfId="0" applyNumberFormat="1" applyFont="1" applyBorder="1" applyAlignment="1" applyProtection="1">
      <alignment vertical="top"/>
      <protection locked="0"/>
    </xf>
    <xf numFmtId="0" fontId="5" fillId="0" borderId="1" xfId="0" applyFont="1" applyBorder="1" applyAlignment="1">
      <alignment vertical="center" wrapText="1"/>
    </xf>
    <xf numFmtId="0" fontId="16" fillId="0" borderId="44" xfId="0" applyFont="1" applyBorder="1" applyAlignment="1">
      <alignment vertical="center" wrapText="1"/>
    </xf>
    <xf numFmtId="0" fontId="40" fillId="11" borderId="0" xfId="5" applyFont="1" applyFill="1" applyAlignment="1">
      <alignment horizontal="center" vertical="top"/>
    </xf>
    <xf numFmtId="0" fontId="11" fillId="11" borderId="0" xfId="5" applyFont="1" applyFill="1" applyAlignment="1">
      <alignment horizontal="center" vertical="top" wrapText="1"/>
    </xf>
    <xf numFmtId="0" fontId="40" fillId="14" borderId="0" xfId="0" applyFont="1" applyFill="1" applyAlignment="1">
      <alignment horizontal="left" vertical="center" wrapText="1"/>
    </xf>
    <xf numFmtId="43" fontId="40" fillId="14" borderId="0" xfId="0" applyNumberFormat="1" applyFont="1" applyFill="1" applyAlignment="1">
      <alignment horizontal="right" vertical="center"/>
    </xf>
    <xf numFmtId="43" fontId="38" fillId="13" borderId="37" xfId="0" applyNumberFormat="1" applyFont="1" applyFill="1" applyBorder="1" applyAlignment="1" applyProtection="1">
      <alignment horizontal="center" vertical="top"/>
      <protection locked="0"/>
    </xf>
    <xf numFmtId="0" fontId="16" fillId="0" borderId="27" xfId="0" applyFont="1" applyBorder="1" applyAlignment="1">
      <alignment horizontal="right" vertical="top"/>
    </xf>
    <xf numFmtId="0" fontId="6" fillId="0" borderId="1" xfId="0" applyFont="1" applyBorder="1"/>
    <xf numFmtId="166" fontId="7" fillId="0" borderId="1" xfId="0" quotePrefix="1" applyNumberFormat="1" applyFont="1" applyBorder="1" applyAlignment="1">
      <alignment horizontal="center" vertical="top"/>
    </xf>
    <xf numFmtId="0" fontId="6" fillId="0" borderId="0" xfId="0" applyFont="1" applyAlignment="1">
      <alignment vertical="top"/>
    </xf>
    <xf numFmtId="166" fontId="7" fillId="0" borderId="0" xfId="0" quotePrefix="1" applyNumberFormat="1" applyFont="1" applyAlignment="1">
      <alignment horizontal="left" vertical="top"/>
    </xf>
    <xf numFmtId="0" fontId="6" fillId="0" borderId="1" xfId="0" applyFont="1" applyBorder="1" applyAlignment="1">
      <alignment vertical="top"/>
    </xf>
    <xf numFmtId="0" fontId="47" fillId="15" borderId="13" xfId="5" applyFont="1" applyFill="1" applyBorder="1" applyAlignment="1">
      <alignment horizontal="center" vertical="top"/>
    </xf>
    <xf numFmtId="0" fontId="47" fillId="15" borderId="27" xfId="5" applyFont="1" applyFill="1" applyBorder="1" applyAlignment="1">
      <alignment horizontal="center" vertical="top"/>
    </xf>
    <xf numFmtId="2" fontId="47" fillId="15" borderId="10" xfId="5" applyNumberFormat="1" applyFont="1" applyFill="1" applyBorder="1" applyAlignment="1">
      <alignment horizontal="center" vertical="top"/>
    </xf>
    <xf numFmtId="0" fontId="36" fillId="11" borderId="1" xfId="3" applyFont="1" applyFill="1" applyBorder="1" applyAlignment="1" applyProtection="1">
      <alignment vertical="top"/>
    </xf>
    <xf numFmtId="0" fontId="36" fillId="11" borderId="1" xfId="3" applyFont="1" applyFill="1" applyBorder="1" applyAlignment="1" applyProtection="1">
      <alignment vertical="top" wrapText="1"/>
    </xf>
    <xf numFmtId="43" fontId="47" fillId="15" borderId="1" xfId="3" applyNumberFormat="1" applyFont="1" applyFill="1" applyBorder="1" applyAlignment="1" applyProtection="1">
      <alignment vertical="top" wrapText="1"/>
    </xf>
    <xf numFmtId="43" fontId="57" fillId="0" borderId="1" xfId="4" applyNumberFormat="1" applyFont="1" applyFill="1" applyBorder="1" applyAlignment="1" applyProtection="1">
      <alignment horizontal="left" vertical="center"/>
    </xf>
    <xf numFmtId="43" fontId="57" fillId="12" borderId="1" xfId="4" applyNumberFormat="1" applyFont="1" applyFill="1" applyBorder="1" applyAlignment="1" applyProtection="1">
      <alignment horizontal="center" vertical="center"/>
    </xf>
    <xf numFmtId="43" fontId="57" fillId="0" borderId="4" xfId="4" applyNumberFormat="1" applyFont="1" applyFill="1" applyBorder="1" applyAlignment="1" applyProtection="1">
      <alignment horizontal="left" vertical="top"/>
    </xf>
    <xf numFmtId="0" fontId="40" fillId="11" borderId="1" xfId="5" applyFont="1" applyFill="1" applyBorder="1" applyAlignment="1">
      <alignment vertical="top" wrapText="1"/>
    </xf>
    <xf numFmtId="0" fontId="60" fillId="5" borderId="1" xfId="0" applyFont="1" applyFill="1" applyBorder="1" applyAlignment="1">
      <alignment vertical="top"/>
    </xf>
    <xf numFmtId="41" fontId="38" fillId="13" borderId="16" xfId="0" applyNumberFormat="1" applyFont="1" applyFill="1" applyBorder="1" applyAlignment="1" applyProtection="1">
      <alignment vertical="center"/>
      <protection locked="0"/>
    </xf>
    <xf numFmtId="41" fontId="38" fillId="13" borderId="42" xfId="0" applyNumberFormat="1" applyFont="1" applyFill="1" applyBorder="1" applyAlignment="1" applyProtection="1">
      <alignment vertical="center"/>
      <protection locked="0"/>
    </xf>
    <xf numFmtId="41" fontId="17" fillId="13" borderId="1" xfId="4" applyNumberFormat="1" applyFont="1" applyFill="1" applyBorder="1" applyAlignment="1" applyProtection="1">
      <alignment horizontal="center" vertical="center"/>
      <protection locked="0"/>
    </xf>
    <xf numFmtId="1" fontId="4" fillId="5" borderId="1" xfId="5" applyNumberFormat="1" applyFont="1" applyFill="1" applyBorder="1" applyAlignment="1">
      <alignment horizontal="left" vertical="top" wrapText="1"/>
    </xf>
    <xf numFmtId="14" fontId="35" fillId="13" borderId="1" xfId="4" applyNumberFormat="1" applyFont="1" applyFill="1" applyBorder="1" applyAlignment="1" applyProtection="1">
      <alignment horizontal="right" vertical="top"/>
      <protection locked="0"/>
    </xf>
    <xf numFmtId="43" fontId="4" fillId="13" borderId="37" xfId="0" applyNumberFormat="1" applyFont="1" applyFill="1" applyBorder="1" applyAlignment="1" applyProtection="1">
      <alignment vertical="top"/>
      <protection locked="0"/>
    </xf>
    <xf numFmtId="166" fontId="47" fillId="0" borderId="4" xfId="0" quotePrefix="1" applyNumberFormat="1" applyFont="1" applyBorder="1" applyAlignment="1">
      <alignment horizontal="center" vertical="top"/>
    </xf>
    <xf numFmtId="166" fontId="47" fillId="0" borderId="5" xfId="0" quotePrefix="1" applyNumberFormat="1" applyFont="1" applyBorder="1" applyAlignment="1">
      <alignment horizontal="center" vertical="top"/>
    </xf>
    <xf numFmtId="166" fontId="47" fillId="0" borderId="3" xfId="0" quotePrefix="1" applyNumberFormat="1" applyFont="1" applyBorder="1" applyAlignment="1">
      <alignment horizontal="center" vertical="top"/>
    </xf>
    <xf numFmtId="0" fontId="58" fillId="0" borderId="1" xfId="0" applyFont="1" applyBorder="1" applyAlignment="1">
      <alignment horizontal="left" vertical="top" wrapText="1"/>
    </xf>
    <xf numFmtId="0" fontId="38" fillId="0" borderId="33" xfId="5" applyFont="1" applyBorder="1" applyAlignment="1">
      <alignment vertical="top"/>
    </xf>
    <xf numFmtId="0" fontId="38" fillId="0" borderId="34" xfId="5" applyFont="1" applyBorder="1" applyAlignment="1">
      <alignment vertical="top"/>
    </xf>
    <xf numFmtId="0" fontId="38" fillId="0" borderId="35" xfId="5" applyFont="1" applyBorder="1" applyAlignment="1">
      <alignment vertical="top"/>
    </xf>
    <xf numFmtId="0" fontId="36" fillId="11" borderId="1" xfId="3" applyFont="1" applyFill="1" applyBorder="1" applyAlignment="1" applyProtection="1">
      <alignment horizontal="left" vertical="top"/>
    </xf>
    <xf numFmtId="1" fontId="47" fillId="13" borderId="4" xfId="6" applyNumberFormat="1" applyFont="1" applyFill="1" applyBorder="1" applyAlignment="1" applyProtection="1">
      <alignment horizontal="center" vertical="top"/>
      <protection locked="0"/>
    </xf>
    <xf numFmtId="1" fontId="47" fillId="13" borderId="3" xfId="6" applyNumberFormat="1" applyFont="1" applyFill="1" applyBorder="1" applyAlignment="1" applyProtection="1">
      <alignment horizontal="center" vertical="top"/>
      <protection locked="0"/>
    </xf>
    <xf numFmtId="0" fontId="6" fillId="0" borderId="1" xfId="5" applyFont="1" applyBorder="1" applyAlignment="1">
      <alignment horizontal="center" vertical="top"/>
    </xf>
    <xf numFmtId="2" fontId="4" fillId="13" borderId="4" xfId="5" applyNumberFormat="1" applyFont="1" applyFill="1" applyBorder="1" applyAlignment="1" applyProtection="1">
      <alignment horizontal="left" vertical="top" wrapText="1"/>
      <protection locked="0"/>
    </xf>
    <xf numFmtId="2" fontId="4" fillId="13" borderId="3" xfId="5" applyNumberFormat="1" applyFont="1" applyFill="1" applyBorder="1" applyAlignment="1" applyProtection="1">
      <alignment horizontal="left" vertical="top" wrapText="1"/>
      <protection locked="0"/>
    </xf>
    <xf numFmtId="2" fontId="4" fillId="13" borderId="12" xfId="5" applyNumberFormat="1" applyFont="1" applyFill="1" applyBorder="1" applyAlignment="1" applyProtection="1">
      <alignment horizontal="left" vertical="top" wrapText="1"/>
      <protection locked="0"/>
    </xf>
    <xf numFmtId="2" fontId="4" fillId="13" borderId="6" xfId="5" applyNumberFormat="1" applyFont="1" applyFill="1" applyBorder="1" applyAlignment="1" applyProtection="1">
      <alignment horizontal="left" vertical="top"/>
      <protection locked="0"/>
    </xf>
    <xf numFmtId="2" fontId="4" fillId="13" borderId="13" xfId="5" applyNumberFormat="1" applyFont="1" applyFill="1" applyBorder="1" applyAlignment="1" applyProtection="1">
      <alignment horizontal="left" vertical="top"/>
      <protection locked="0"/>
    </xf>
    <xf numFmtId="2" fontId="4" fillId="13" borderId="26" xfId="5" applyNumberFormat="1" applyFont="1" applyFill="1" applyBorder="1" applyAlignment="1" applyProtection="1">
      <alignment horizontal="left" vertical="top"/>
      <protection locked="0"/>
    </xf>
    <xf numFmtId="2" fontId="4" fillId="13" borderId="0" xfId="5" applyNumberFormat="1" applyFont="1" applyFill="1" applyAlignment="1" applyProtection="1">
      <alignment horizontal="left" vertical="top"/>
      <protection locked="0"/>
    </xf>
    <xf numFmtId="2" fontId="4" fillId="13" borderId="27" xfId="5" applyNumberFormat="1" applyFont="1" applyFill="1" applyBorder="1" applyAlignment="1" applyProtection="1">
      <alignment horizontal="left" vertical="top"/>
      <protection locked="0"/>
    </xf>
    <xf numFmtId="2" fontId="4" fillId="13" borderId="8" xfId="5" applyNumberFormat="1" applyFont="1" applyFill="1" applyBorder="1" applyAlignment="1" applyProtection="1">
      <alignment horizontal="left" vertical="top"/>
      <protection locked="0"/>
    </xf>
    <xf numFmtId="2" fontId="4" fillId="13" borderId="9" xfId="5" applyNumberFormat="1" applyFont="1" applyFill="1" applyBorder="1" applyAlignment="1" applyProtection="1">
      <alignment horizontal="left" vertical="top"/>
      <protection locked="0"/>
    </xf>
    <xf numFmtId="2" fontId="4" fillId="13" borderId="10" xfId="5" applyNumberFormat="1" applyFont="1" applyFill="1" applyBorder="1" applyAlignment="1" applyProtection="1">
      <alignment horizontal="left" vertical="top"/>
      <protection locked="0"/>
    </xf>
    <xf numFmtId="0" fontId="39" fillId="5" borderId="0" xfId="3" applyFont="1" applyFill="1" applyBorder="1" applyAlignment="1" applyProtection="1">
      <alignment horizontal="center" vertical="top"/>
    </xf>
    <xf numFmtId="0" fontId="36" fillId="11" borderId="0" xfId="3" applyFont="1" applyFill="1" applyBorder="1" applyAlignment="1" applyProtection="1">
      <alignment horizontal="left" vertical="top"/>
    </xf>
    <xf numFmtId="166" fontId="4" fillId="0" borderId="4" xfId="0" quotePrefix="1" applyNumberFormat="1" applyFont="1" applyBorder="1" applyAlignment="1">
      <alignment horizontal="center" vertical="top"/>
    </xf>
    <xf numFmtId="166" fontId="4" fillId="0" borderId="5" xfId="0" quotePrefix="1" applyNumberFormat="1" applyFont="1" applyBorder="1" applyAlignment="1">
      <alignment horizontal="center" vertical="top"/>
    </xf>
    <xf numFmtId="166" fontId="4" fillId="0" borderId="3" xfId="0" quotePrefix="1" applyNumberFormat="1" applyFont="1" applyBorder="1" applyAlignment="1">
      <alignment horizontal="center" vertical="top"/>
    </xf>
    <xf numFmtId="0" fontId="43" fillId="0" borderId="1"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58" fillId="0" borderId="0" xfId="0" applyFont="1" applyAlignment="1">
      <alignment horizontal="left" vertical="top" wrapText="1"/>
    </xf>
    <xf numFmtId="0" fontId="40" fillId="14" borderId="0" xfId="0" applyFont="1" applyFill="1" applyAlignment="1">
      <alignment horizontal="righ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4" xfId="0" applyFont="1" applyFill="1" applyBorder="1" applyAlignment="1">
      <alignment horizontal="left" vertical="top"/>
    </xf>
    <xf numFmtId="0" fontId="35" fillId="5" borderId="5" xfId="0" applyFont="1" applyFill="1" applyBorder="1" applyAlignment="1">
      <alignment horizontal="left" vertical="top"/>
    </xf>
    <xf numFmtId="0" fontId="4" fillId="13" borderId="12" xfId="0" applyFont="1" applyFill="1" applyBorder="1" applyAlignment="1" applyProtection="1">
      <alignment horizontal="left" vertical="top" wrapText="1"/>
      <protection locked="0"/>
    </xf>
    <xf numFmtId="0" fontId="4" fillId="13" borderId="6" xfId="0" applyFont="1" applyFill="1" applyBorder="1" applyAlignment="1" applyProtection="1">
      <alignment horizontal="left" vertical="top" wrapText="1"/>
      <protection locked="0"/>
    </xf>
    <xf numFmtId="0" fontId="4" fillId="13" borderId="13" xfId="0" applyFont="1" applyFill="1" applyBorder="1" applyAlignment="1" applyProtection="1">
      <alignment horizontal="left" vertical="top" wrapText="1"/>
      <protection locked="0"/>
    </xf>
    <xf numFmtId="0" fontId="4" fillId="13" borderId="26" xfId="0" applyFont="1" applyFill="1" applyBorder="1" applyAlignment="1" applyProtection="1">
      <alignment horizontal="left" vertical="top" wrapText="1"/>
      <protection locked="0"/>
    </xf>
    <xf numFmtId="0" fontId="4" fillId="13" borderId="0" xfId="0" applyFont="1" applyFill="1" applyAlignment="1" applyProtection="1">
      <alignment horizontal="left" vertical="top" wrapText="1"/>
      <protection locked="0"/>
    </xf>
    <xf numFmtId="0" fontId="4" fillId="13" borderId="27" xfId="0" applyFont="1" applyFill="1" applyBorder="1" applyAlignment="1" applyProtection="1">
      <alignment horizontal="left" vertical="top" wrapText="1"/>
      <protection locked="0"/>
    </xf>
    <xf numFmtId="0" fontId="4" fillId="13" borderId="8" xfId="0" applyFont="1" applyFill="1" applyBorder="1" applyAlignment="1" applyProtection="1">
      <alignment horizontal="left" vertical="top" wrapText="1"/>
      <protection locked="0"/>
    </xf>
    <xf numFmtId="0" fontId="4" fillId="13" borderId="9" xfId="0" applyFont="1" applyFill="1" applyBorder="1" applyAlignment="1" applyProtection="1">
      <alignment horizontal="left" vertical="top" wrapText="1"/>
      <protection locked="0"/>
    </xf>
    <xf numFmtId="0" fontId="4" fillId="13" borderId="10" xfId="0" applyFont="1" applyFill="1" applyBorder="1" applyAlignment="1" applyProtection="1">
      <alignment horizontal="left" vertical="top" wrapText="1"/>
      <protection locked="0"/>
    </xf>
    <xf numFmtId="0" fontId="35" fillId="5" borderId="4" xfId="0" applyFont="1" applyFill="1" applyBorder="1" applyAlignment="1" applyProtection="1">
      <alignment horizontal="left" vertical="top"/>
      <protection locked="0"/>
    </xf>
    <xf numFmtId="0" fontId="35" fillId="5" borderId="5" xfId="0" applyFont="1" applyFill="1" applyBorder="1" applyAlignment="1" applyProtection="1">
      <alignment horizontal="left" vertical="top"/>
      <protection locked="0"/>
    </xf>
    <xf numFmtId="0" fontId="35" fillId="5" borderId="4" xfId="0" applyFont="1" applyFill="1" applyBorder="1" applyAlignment="1">
      <alignment horizontal="left" vertical="top" wrapText="1"/>
    </xf>
    <xf numFmtId="0" fontId="35" fillId="0" borderId="4" xfId="0" applyFont="1" applyBorder="1" applyAlignment="1">
      <alignment horizontal="left" vertical="top"/>
    </xf>
    <xf numFmtId="0" fontId="35" fillId="0" borderId="5" xfId="0" applyFont="1" applyBorder="1" applyAlignment="1">
      <alignment horizontal="left" vertical="top"/>
    </xf>
    <xf numFmtId="0" fontId="35" fillId="0" borderId="3" xfId="0" applyFont="1" applyBorder="1" applyAlignment="1">
      <alignment horizontal="left" vertical="top"/>
    </xf>
    <xf numFmtId="0" fontId="40" fillId="14" borderId="4" xfId="0" applyFont="1" applyFill="1" applyBorder="1" applyAlignment="1">
      <alignment horizontal="left" vertical="top" wrapText="1"/>
    </xf>
    <xf numFmtId="0" fontId="40" fillId="14" borderId="5" xfId="0" applyFont="1" applyFill="1" applyBorder="1" applyAlignment="1">
      <alignment horizontal="left" vertical="top" wrapText="1"/>
    </xf>
    <xf numFmtId="0" fontId="40" fillId="14" borderId="3" xfId="0" applyFont="1" applyFill="1" applyBorder="1" applyAlignment="1">
      <alignment horizontal="left" vertical="top" wrapText="1"/>
    </xf>
    <xf numFmtId="2" fontId="38" fillId="13" borderId="4" xfId="0" applyNumberFormat="1" applyFont="1" applyFill="1" applyBorder="1" applyAlignment="1" applyProtection="1">
      <alignment horizontal="left" vertical="top" wrapText="1"/>
      <protection locked="0"/>
    </xf>
    <xf numFmtId="2" fontId="38" fillId="13" borderId="5" xfId="0" applyNumberFormat="1" applyFont="1" applyFill="1" applyBorder="1" applyAlignment="1" applyProtection="1">
      <alignment horizontal="left" vertical="top" wrapText="1"/>
      <protection locked="0"/>
    </xf>
    <xf numFmtId="2" fontId="38" fillId="13" borderId="3" xfId="0" applyNumberFormat="1" applyFont="1" applyFill="1" applyBorder="1" applyAlignment="1" applyProtection="1">
      <alignment horizontal="left" vertical="top" wrapText="1"/>
      <protection locked="0"/>
    </xf>
    <xf numFmtId="0" fontId="40" fillId="11" borderId="0" xfId="3" applyFont="1" applyFill="1" applyBorder="1" applyAlignment="1" applyProtection="1">
      <alignment horizontal="center" vertical="top" wrapText="1"/>
    </xf>
    <xf numFmtId="0" fontId="35" fillId="0" borderId="33" xfId="0" applyFont="1" applyBorder="1" applyAlignment="1">
      <alignment horizontal="left" vertical="center"/>
    </xf>
    <xf numFmtId="0" fontId="35" fillId="0" borderId="34" xfId="0" applyFont="1" applyBorder="1" applyAlignment="1">
      <alignment horizontal="left" vertical="center"/>
    </xf>
    <xf numFmtId="0" fontId="35" fillId="0" borderId="39" xfId="0" applyFont="1" applyBorder="1" applyAlignment="1">
      <alignment horizontal="left" vertical="center"/>
    </xf>
    <xf numFmtId="0" fontId="35" fillId="0" borderId="22" xfId="0" applyFont="1" applyBorder="1" applyAlignment="1">
      <alignment horizontal="left" vertical="top"/>
    </xf>
    <xf numFmtId="0" fontId="35" fillId="0" borderId="1" xfId="0" applyFont="1" applyBorder="1" applyAlignment="1">
      <alignment horizontal="left" vertical="top"/>
    </xf>
    <xf numFmtId="0" fontId="35" fillId="0" borderId="33" xfId="0" applyFont="1" applyBorder="1" applyAlignment="1">
      <alignment horizontal="left" vertical="top"/>
    </xf>
    <xf numFmtId="0" fontId="35" fillId="0" borderId="34" xfId="0" applyFont="1" applyBorder="1" applyAlignment="1">
      <alignment horizontal="left" vertical="top"/>
    </xf>
    <xf numFmtId="0" fontId="35" fillId="0" borderId="39" xfId="0" applyFont="1" applyBorder="1" applyAlignment="1">
      <alignment horizontal="left" vertical="top"/>
    </xf>
    <xf numFmtId="0" fontId="40" fillId="14" borderId="48" xfId="0" applyFont="1" applyFill="1" applyBorder="1" applyAlignment="1">
      <alignment horizontal="left" vertical="top"/>
    </xf>
    <xf numFmtId="0" fontId="40" fillId="14" borderId="15" xfId="0" applyFont="1" applyFill="1" applyBorder="1" applyAlignment="1">
      <alignment horizontal="left" vertical="top"/>
    </xf>
    <xf numFmtId="0" fontId="40" fillId="14" borderId="38" xfId="0" applyFont="1" applyFill="1" applyBorder="1" applyAlignment="1">
      <alignment horizontal="left" vertical="top"/>
    </xf>
    <xf numFmtId="0" fontId="40" fillId="14" borderId="15" xfId="4" applyFont="1" applyFill="1" applyBorder="1" applyAlignment="1" applyProtection="1">
      <alignment horizontal="center" vertical="top"/>
    </xf>
    <xf numFmtId="0" fontId="40" fillId="14" borderId="38" xfId="4" applyFont="1" applyFill="1" applyBorder="1" applyAlignment="1" applyProtection="1">
      <alignment horizontal="center" vertical="top"/>
    </xf>
    <xf numFmtId="43" fontId="38" fillId="13" borderId="1" xfId="0" applyNumberFormat="1" applyFont="1" applyFill="1" applyBorder="1" applyAlignment="1" applyProtection="1">
      <alignment horizontal="left" vertical="top"/>
      <protection locked="0"/>
    </xf>
    <xf numFmtId="1" fontId="18" fillId="0" borderId="1" xfId="4" applyNumberFormat="1" applyFont="1" applyFill="1" applyBorder="1" applyAlignment="1" applyProtection="1">
      <alignment horizontal="center" vertical="center"/>
    </xf>
    <xf numFmtId="2" fontId="13" fillId="13" borderId="12" xfId="0" applyNumberFormat="1" applyFont="1" applyFill="1" applyBorder="1" applyAlignment="1" applyProtection="1">
      <alignment horizontal="left" vertical="top" wrapText="1"/>
      <protection locked="0"/>
    </xf>
    <xf numFmtId="2" fontId="13" fillId="13" borderId="6" xfId="0" applyNumberFormat="1" applyFont="1" applyFill="1" applyBorder="1" applyAlignment="1" applyProtection="1">
      <alignment horizontal="left" vertical="top" wrapText="1"/>
      <protection locked="0"/>
    </xf>
    <xf numFmtId="2" fontId="13" fillId="13" borderId="13" xfId="0" applyNumberFormat="1" applyFont="1" applyFill="1" applyBorder="1" applyAlignment="1" applyProtection="1">
      <alignment horizontal="left" vertical="top" wrapText="1"/>
      <protection locked="0"/>
    </xf>
    <xf numFmtId="2" fontId="13" fillId="13" borderId="26" xfId="0" applyNumberFormat="1" applyFont="1" applyFill="1" applyBorder="1" applyAlignment="1" applyProtection="1">
      <alignment horizontal="left" vertical="top" wrapText="1"/>
      <protection locked="0"/>
    </xf>
    <xf numFmtId="2" fontId="13" fillId="13" borderId="0" xfId="0" applyNumberFormat="1" applyFont="1" applyFill="1" applyAlignment="1" applyProtection="1">
      <alignment horizontal="left" vertical="top" wrapText="1"/>
      <protection locked="0"/>
    </xf>
    <xf numFmtId="2" fontId="13" fillId="13" borderId="27" xfId="0" applyNumberFormat="1" applyFont="1" applyFill="1" applyBorder="1" applyAlignment="1" applyProtection="1">
      <alignment horizontal="left" vertical="top" wrapText="1"/>
      <protection locked="0"/>
    </xf>
    <xf numFmtId="2" fontId="13" fillId="13" borderId="8" xfId="0" applyNumberFormat="1" applyFont="1" applyFill="1" applyBorder="1" applyAlignment="1" applyProtection="1">
      <alignment horizontal="left" vertical="top" wrapText="1"/>
      <protection locked="0"/>
    </xf>
    <xf numFmtId="2" fontId="13" fillId="13" borderId="9" xfId="0" applyNumberFormat="1" applyFont="1" applyFill="1" applyBorder="1" applyAlignment="1" applyProtection="1">
      <alignment horizontal="left" vertical="top" wrapText="1"/>
      <protection locked="0"/>
    </xf>
    <xf numFmtId="2" fontId="13" fillId="13" borderId="10" xfId="0" applyNumberFormat="1" applyFont="1" applyFill="1" applyBorder="1" applyAlignment="1" applyProtection="1">
      <alignment horizontal="left" vertical="top" wrapText="1"/>
      <protection locked="0"/>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3" fillId="13" borderId="45" xfId="4" applyFont="1" applyFill="1" applyBorder="1" applyAlignment="1" applyProtection="1">
      <alignment horizontal="left" vertical="center"/>
      <protection locked="0"/>
    </xf>
    <xf numFmtId="0" fontId="13" fillId="13" borderId="3" xfId="4" applyFont="1" applyFill="1" applyBorder="1" applyAlignment="1" applyProtection="1">
      <alignment horizontal="left" vertical="center"/>
      <protection locked="0"/>
    </xf>
    <xf numFmtId="0" fontId="13" fillId="13" borderId="33" xfId="4" applyFont="1" applyFill="1" applyBorder="1" applyAlignment="1" applyProtection="1">
      <alignment horizontal="left" vertical="center"/>
      <protection locked="0"/>
    </xf>
    <xf numFmtId="0" fontId="13" fillId="13" borderId="39" xfId="4" applyFont="1" applyFill="1" applyBorder="1" applyAlignment="1" applyProtection="1">
      <alignment horizontal="left" vertical="center"/>
      <protection locked="0"/>
    </xf>
    <xf numFmtId="0" fontId="16" fillId="0" borderId="23" xfId="0" applyFont="1" applyBorder="1" applyAlignment="1">
      <alignment horizontal="left" vertical="center" wrapText="1"/>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0" borderId="1" xfId="0" applyFont="1" applyBorder="1" applyAlignment="1">
      <alignment horizontal="left" vertical="center" wrapText="1"/>
    </xf>
    <xf numFmtId="0" fontId="16" fillId="0" borderId="44"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1" xfId="0" applyFont="1" applyBorder="1" applyAlignment="1">
      <alignment horizontal="left" vertical="top" wrapText="1"/>
    </xf>
    <xf numFmtId="1" fontId="37" fillId="0" borderId="1" xfId="4" applyNumberFormat="1" applyFont="1" applyFill="1" applyBorder="1" applyAlignment="1" applyProtection="1">
      <alignment horizontal="center" vertical="top"/>
    </xf>
    <xf numFmtId="166" fontId="7" fillId="0" borderId="1" xfId="0" quotePrefix="1" applyNumberFormat="1" applyFont="1" applyBorder="1" applyAlignment="1">
      <alignment horizontal="center" vertical="top"/>
    </xf>
    <xf numFmtId="14" fontId="55" fillId="13" borderId="1" xfId="4" applyNumberFormat="1" applyFont="1" applyFill="1" applyBorder="1" applyAlignment="1" applyProtection="1">
      <alignment horizontal="left" vertical="center"/>
      <protection locked="0"/>
    </xf>
    <xf numFmtId="43" fontId="55" fillId="13" borderId="1" xfId="4" applyNumberFormat="1" applyFont="1" applyFill="1" applyBorder="1" applyAlignment="1" applyProtection="1">
      <alignment horizontal="left" vertical="center"/>
      <protection locked="0"/>
    </xf>
    <xf numFmtId="43" fontId="57" fillId="0" borderId="3" xfId="4" applyNumberFormat="1" applyFont="1" applyFill="1" applyBorder="1" applyAlignment="1" applyProtection="1">
      <alignment horizontal="left" vertical="center"/>
    </xf>
    <xf numFmtId="43" fontId="57" fillId="0" borderId="1" xfId="4" applyNumberFormat="1" applyFont="1" applyFill="1" applyBorder="1" applyAlignment="1" applyProtection="1">
      <alignment horizontal="left" vertical="center"/>
    </xf>
    <xf numFmtId="43" fontId="19" fillId="0" borderId="1" xfId="6" applyFont="1" applyBorder="1" applyAlignment="1" applyProtection="1">
      <alignment horizontal="left"/>
    </xf>
    <xf numFmtId="0" fontId="2" fillId="7" borderId="1" xfId="5" applyFill="1" applyBorder="1" applyAlignment="1">
      <alignment horizontal="center"/>
    </xf>
    <xf numFmtId="0" fontId="2" fillId="6" borderId="1" xfId="5" applyFill="1" applyBorder="1" applyAlignment="1">
      <alignment horizontal="center"/>
    </xf>
    <xf numFmtId="0" fontId="2" fillId="8" borderId="1" xfId="5" applyFill="1" applyBorder="1" applyAlignment="1">
      <alignment horizontal="center"/>
    </xf>
    <xf numFmtId="1" fontId="18" fillId="0" borderId="1" xfId="7" applyNumberFormat="1" applyFont="1" applyFill="1" applyBorder="1" applyAlignment="1" applyProtection="1">
      <alignment horizontal="center" vertical="center"/>
    </xf>
    <xf numFmtId="0" fontId="31" fillId="0" borderId="1" xfId="5" applyFont="1" applyBorder="1" applyAlignment="1">
      <alignment horizontal="left" vertical="top" wrapText="1"/>
    </xf>
    <xf numFmtId="43"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1" fillId="16" borderId="1" xfId="0" applyFont="1" applyFill="1" applyBorder="1" applyAlignment="1">
      <alignment horizontal="center" vertical="top"/>
    </xf>
  </cellXfs>
  <cellStyles count="12">
    <cellStyle name="20% - Accent3" xfId="4" builtinId="38"/>
    <cellStyle name="20% - Accent3 2" xfId="7" xr:uid="{00000000-0005-0000-0000-000001000000}"/>
    <cellStyle name="Accent2" xfId="3" builtinId="33"/>
    <cellStyle name="Accent2 2" xfId="10" xr:uid="{00000000-0005-0000-0000-000003000000}"/>
    <cellStyle name="Comma" xfId="1" builtinId="3"/>
    <cellStyle name="Comma 2" xfId="6" xr:uid="{00000000-0005-0000-0000-000006000000}"/>
    <cellStyle name="Comma 3" xfId="9" xr:uid="{00000000-0005-0000-0000-000007000000}"/>
    <cellStyle name="Normal" xfId="0" builtinId="0"/>
    <cellStyle name="Normal 2" xfId="5" xr:uid="{00000000-0005-0000-0000-000009000000}"/>
    <cellStyle name="Normal 3" xfId="8" xr:uid="{00000000-0005-0000-0000-00000A000000}"/>
    <cellStyle name="Normal 4" xfId="11" xr:uid="{00000000-0005-0000-0000-00000B000000}"/>
    <cellStyle name="Percent" xfId="2" builtinId="5"/>
  </cellStyles>
  <dxfs count="3">
    <dxf>
      <numFmt numFmtId="165" formatCode=";;;"/>
    </dxf>
    <dxf>
      <numFmt numFmtId="165" formatCode=";;;"/>
    </dxf>
    <dxf>
      <numFmt numFmtId="165"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208914</xdr:colOff>
      <xdr:row>25</xdr:row>
      <xdr:rowOff>21166</xdr:rowOff>
    </xdr:from>
    <xdr:to>
      <xdr:col>4</xdr:col>
      <xdr:colOff>287020</xdr:colOff>
      <xdr:row>33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8914" y="4995333"/>
          <a:ext cx="5846023" cy="5894917"/>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To make a change, Provide Number of meetings, Meeting Duration, Number </a:t>
          </a:r>
          <a:r>
            <a:rPr lang="en-US" sz="1100" baseline="0">
              <a:solidFill>
                <a:sysClr val="windowText" lastClr="000000"/>
              </a:solidFill>
            </a:rPr>
            <a:t>of Participants and Prep Time per Participant in columns J, K , L &amp; M.</a:t>
          </a:r>
        </a:p>
        <a:p>
          <a:pPr lvl="1" algn="l"/>
          <a:r>
            <a:rPr lang="en-US" sz="1100" b="1" baseline="0">
              <a:solidFill>
                <a:sysClr val="windowText" lastClr="000000"/>
              </a:solidFill>
            </a:rPr>
            <a:t>Consultant/Mentor Effort:</a:t>
          </a:r>
          <a:r>
            <a:rPr lang="en-US" sz="1100" baseline="0">
              <a:solidFill>
                <a:sysClr val="windowText" lastClr="000000"/>
              </a:solidFill>
            </a:rPr>
            <a:t> Insert hours for Consultant and Mentors.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Total Actual Hours as of (Include hours for Initial Estimate: </a:t>
          </a:r>
          <a:r>
            <a:rPr lang="en-US" sz="1100" b="0" baseline="0">
              <a:solidFill>
                <a:sysClr val="windowText" lastClr="000000"/>
              </a:solidFill>
              <a:effectLst/>
              <a:latin typeface="+mn-lt"/>
              <a:ea typeface="+mn-ea"/>
              <a:cs typeface="+mn-cs"/>
            </a:rPr>
            <a:t>Actual Hours as of Date and Actual hours including time to create the initial estimate.</a:t>
          </a:r>
          <a:endParaRPr lang="en-US">
            <a:solidFill>
              <a:sysClr val="windowText" lastClr="000000"/>
            </a:solidFill>
            <a:effectLst/>
          </a:endParaRPr>
        </a:p>
        <a:p>
          <a:pPr lvl="1" algn="l"/>
          <a:r>
            <a:rPr lang="en-US" sz="1100" b="1" baseline="0">
              <a:solidFill>
                <a:schemeClr val="tx1"/>
              </a:solidFill>
            </a:rPr>
            <a:t>Time for Estimates (Detailed &amp; Final): </a:t>
          </a:r>
          <a:r>
            <a:rPr lang="en-US" sz="1100" b="0" baseline="0">
              <a:solidFill>
                <a:schemeClr val="tx1"/>
              </a:solidFill>
            </a:rPr>
            <a:t>D</a:t>
          </a:r>
          <a:r>
            <a:rPr lang="en-US" sz="1100" baseline="0">
              <a:solidFill>
                <a:schemeClr val="tx1"/>
              </a:solidFill>
            </a:rPr>
            <a:t>etailed and final estimates.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38100</xdr:colOff>
          <xdr:row>22</xdr:row>
          <xdr:rowOff>38100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23</xdr:row>
          <xdr:rowOff>38100</xdr:rowOff>
        </xdr:from>
        <xdr:to>
          <xdr:col>0</xdr:col>
          <xdr:colOff>1428750</xdr:colOff>
          <xdr:row>23</xdr:row>
          <xdr:rowOff>247650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xdr:row>
          <xdr:rowOff>38100</xdr:rowOff>
        </xdr:from>
        <xdr:to>
          <xdr:col>0</xdr:col>
          <xdr:colOff>1428750</xdr:colOff>
          <xdr:row>32</xdr:row>
          <xdr:rowOff>247650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37</xdr:row>
          <xdr:rowOff>38100</xdr:rowOff>
        </xdr:from>
        <xdr:to>
          <xdr:col>0</xdr:col>
          <xdr:colOff>1428750</xdr:colOff>
          <xdr:row>37</xdr:row>
          <xdr:rowOff>247650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42</xdr:row>
          <xdr:rowOff>38100</xdr:rowOff>
        </xdr:from>
        <xdr:to>
          <xdr:col>0</xdr:col>
          <xdr:colOff>1428750</xdr:colOff>
          <xdr:row>42</xdr:row>
          <xdr:rowOff>247650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47</xdr:row>
          <xdr:rowOff>38100</xdr:rowOff>
        </xdr:from>
        <xdr:to>
          <xdr:col>0</xdr:col>
          <xdr:colOff>1428750</xdr:colOff>
          <xdr:row>47</xdr:row>
          <xdr:rowOff>247650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53</xdr:row>
          <xdr:rowOff>38100</xdr:rowOff>
        </xdr:from>
        <xdr:to>
          <xdr:col>0</xdr:col>
          <xdr:colOff>1428750</xdr:colOff>
          <xdr:row>53</xdr:row>
          <xdr:rowOff>247650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60</xdr:row>
          <xdr:rowOff>38100</xdr:rowOff>
        </xdr:from>
        <xdr:to>
          <xdr:col>0</xdr:col>
          <xdr:colOff>1428750</xdr:colOff>
          <xdr:row>60</xdr:row>
          <xdr:rowOff>247650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65</xdr:row>
          <xdr:rowOff>38100</xdr:rowOff>
        </xdr:from>
        <xdr:to>
          <xdr:col>0</xdr:col>
          <xdr:colOff>1428750</xdr:colOff>
          <xdr:row>65</xdr:row>
          <xdr:rowOff>247650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70</xdr:row>
          <xdr:rowOff>38100</xdr:rowOff>
        </xdr:from>
        <xdr:to>
          <xdr:col>0</xdr:col>
          <xdr:colOff>1428750</xdr:colOff>
          <xdr:row>70</xdr:row>
          <xdr:rowOff>247650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81</xdr:row>
          <xdr:rowOff>38100</xdr:rowOff>
        </xdr:from>
        <xdr:to>
          <xdr:col>0</xdr:col>
          <xdr:colOff>1428750</xdr:colOff>
          <xdr:row>81</xdr:row>
          <xdr:rowOff>247650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75</xdr:row>
          <xdr:rowOff>38100</xdr:rowOff>
        </xdr:from>
        <xdr:to>
          <xdr:col>0</xdr:col>
          <xdr:colOff>1428750</xdr:colOff>
          <xdr:row>75</xdr:row>
          <xdr:rowOff>247650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28</xdr:row>
          <xdr:rowOff>38100</xdr:rowOff>
        </xdr:from>
        <xdr:to>
          <xdr:col>0</xdr:col>
          <xdr:colOff>2114550</xdr:colOff>
          <xdr:row>29</xdr:row>
          <xdr:rowOff>38100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tabSelected="1" workbookViewId="0">
      <selection activeCell="H8" sqref="H8"/>
    </sheetView>
  </sheetViews>
  <sheetFormatPr defaultRowHeight="12.75"/>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O74"/>
  <sheetViews>
    <sheetView showGridLines="0" topLeftCell="A2" zoomScale="90" zoomScaleNormal="90" workbookViewId="0">
      <selection activeCell="B56" sqref="B56:G60"/>
    </sheetView>
  </sheetViews>
  <sheetFormatPr defaultColWidth="9.42578125" defaultRowHeight="14.25"/>
  <cols>
    <col min="1" max="1" width="25.42578125" style="96" bestFit="1" customWidth="1"/>
    <col min="2" max="2" width="22.42578125" style="96" bestFit="1" customWidth="1"/>
    <col min="3" max="3" width="22.42578125" style="96" customWidth="1"/>
    <col min="4" max="4" width="13.42578125" style="96" customWidth="1"/>
    <col min="5" max="5" width="9.42578125" style="96"/>
    <col min="6" max="6" width="45.42578125" style="96" customWidth="1"/>
    <col min="7" max="7" width="13" style="96" customWidth="1"/>
    <col min="8" max="8" width="25.42578125" style="96" customWidth="1"/>
    <col min="9" max="9" width="11.42578125" style="96" bestFit="1" customWidth="1"/>
    <col min="10" max="15" width="13.42578125" style="96" customWidth="1"/>
    <col min="16" max="16384" width="9.42578125" style="96"/>
  </cols>
  <sheetData>
    <row r="1" spans="1:12" ht="18">
      <c r="A1" s="372" t="s">
        <v>126</v>
      </c>
      <c r="B1" s="431">
        <v>2.9</v>
      </c>
      <c r="C1" s="432"/>
      <c r="D1" s="432"/>
      <c r="E1" s="432"/>
      <c r="F1" s="433"/>
    </row>
    <row r="2" spans="1:12" ht="54.75" customHeight="1">
      <c r="A2" s="372" t="s">
        <v>20</v>
      </c>
      <c r="B2" s="434" t="s">
        <v>244</v>
      </c>
      <c r="C2" s="434"/>
      <c r="D2" s="434"/>
      <c r="E2" s="434"/>
      <c r="F2" s="434"/>
      <c r="G2" s="95"/>
      <c r="H2" s="95"/>
      <c r="I2" s="95"/>
      <c r="J2" s="95"/>
      <c r="K2" s="95"/>
    </row>
    <row r="3" spans="1:12" s="97" customFormat="1" ht="18">
      <c r="A3" s="438" t="s">
        <v>48</v>
      </c>
      <c r="B3" s="438"/>
      <c r="C3" s="438"/>
      <c r="D3" s="438"/>
      <c r="E3" s="438"/>
      <c r="F3" s="439" t="s">
        <v>419</v>
      </c>
      <c r="G3" s="440"/>
      <c r="H3" s="224" t="s">
        <v>21</v>
      </c>
      <c r="I3" s="414">
        <f>ROUNDUP(I43,0)</f>
        <v>760</v>
      </c>
      <c r="J3" s="96"/>
      <c r="K3" s="96"/>
      <c r="L3" s="96"/>
    </row>
    <row r="4" spans="1:12" s="97" customFormat="1" ht="18">
      <c r="A4" s="276"/>
      <c r="B4" s="276"/>
      <c r="C4" s="276"/>
      <c r="D4" s="276"/>
      <c r="E4" s="276"/>
      <c r="F4" s="277"/>
      <c r="G4" s="278"/>
      <c r="H4" s="224"/>
      <c r="I4" s="415"/>
      <c r="J4" s="96"/>
      <c r="K4" s="96"/>
      <c r="L4" s="96"/>
    </row>
    <row r="5" spans="1:12" s="97" customFormat="1" ht="18">
      <c r="A5" s="276" t="s">
        <v>271</v>
      </c>
      <c r="B5" s="276"/>
      <c r="C5" s="276"/>
      <c r="D5" s="276"/>
      <c r="E5" s="276"/>
      <c r="F5" s="277"/>
      <c r="G5" s="278"/>
      <c r="H5" s="224" t="s">
        <v>128</v>
      </c>
      <c r="I5" s="416" t="str">
        <f>I44</f>
        <v>X-Large</v>
      </c>
      <c r="J5" s="96"/>
      <c r="K5" s="96"/>
      <c r="L5" s="96"/>
    </row>
    <row r="6" spans="1:12" s="98" customFormat="1" ht="15">
      <c r="A6" s="249" t="s">
        <v>192</v>
      </c>
      <c r="B6" s="279" t="s">
        <v>241</v>
      </c>
      <c r="C6" s="279" t="s">
        <v>242</v>
      </c>
      <c r="D6" s="249" t="s">
        <v>193</v>
      </c>
      <c r="E6" s="249" t="s">
        <v>130</v>
      </c>
      <c r="F6" s="275" t="s">
        <v>115</v>
      </c>
      <c r="G6" s="249" t="s">
        <v>189</v>
      </c>
      <c r="J6" s="96"/>
      <c r="K6" s="96"/>
      <c r="L6" s="96"/>
    </row>
    <row r="7" spans="1:12" s="306" customFormat="1" ht="28.5">
      <c r="A7" s="300" t="s">
        <v>420</v>
      </c>
      <c r="B7" s="301" t="s">
        <v>231</v>
      </c>
      <c r="C7" s="301"/>
      <c r="D7" s="302" t="s">
        <v>18</v>
      </c>
      <c r="E7" s="302" t="s">
        <v>131</v>
      </c>
      <c r="F7" s="303">
        <v>1</v>
      </c>
      <c r="G7" s="318">
        <f>IF(ISBLANK(#REF!),0,IFERROR(VLOOKUP(B7,IntialEstWeightedValues!$A$6:$G$17,IF(E7="Small",IF(D7="New",2,3),IF(E7="Medium",IF(D7="New",4,5),IF(E7="Large",IF(D7="New",6,7)))),FALSE),0)) * IF(ISBLANK(F7),0,F7)</f>
        <v>11.875</v>
      </c>
    </row>
    <row r="8" spans="1:12" s="306" customFormat="1">
      <c r="A8" s="300"/>
      <c r="B8" s="301"/>
      <c r="C8" s="301"/>
      <c r="D8" s="302"/>
      <c r="E8" s="302"/>
      <c r="F8" s="303"/>
      <c r="G8" s="318">
        <f>IF(ISBLANK(#REF!),0,IFERROR(VLOOKUP(B8,IntialEstWeightedValues!$A$6:$G$17,IF(E8="Small",IF(D8="New",2,3),IF(E8="Medium",IF(D8="New",4,5),IF(E8="Large",IF(D8="New",6,7)))),FALSE),0)) * IF(ISBLANK(F8),0,F8)</f>
        <v>0</v>
      </c>
    </row>
    <row r="9" spans="1:12" s="306" customFormat="1">
      <c r="A9" s="300"/>
      <c r="B9" s="301"/>
      <c r="C9" s="301"/>
      <c r="D9" s="302"/>
      <c r="E9" s="302"/>
      <c r="F9" s="303"/>
      <c r="G9" s="318">
        <f>IF(ISBLANK(#REF!),0,IFERROR(VLOOKUP(B9,IntialEstWeightedValues!$A$6:$G$17,IF(E9="Small",IF(D9="New",2,3),IF(E9="Medium",IF(D9="New",4,5),IF(E9="Large",IF(D9="New",6,7)))),FALSE),0)) * IF(ISBLANK(F9),0,F9)</f>
        <v>0</v>
      </c>
    </row>
    <row r="10" spans="1:12" s="306" customFormat="1">
      <c r="A10" s="300"/>
      <c r="B10" s="301"/>
      <c r="C10" s="301"/>
      <c r="D10" s="302"/>
      <c r="E10" s="302"/>
      <c r="F10" s="303"/>
      <c r="G10" s="318">
        <f>IF(ISBLANK(#REF!),0,IFERROR(VLOOKUP(B10,IntialEstWeightedValues!$A$6:$G$17,IF(E10="Small",IF(D10="New",2,3),IF(E10="Medium",IF(D10="New",4,5),IF(E10="Large",IF(D10="New",6,7)))),FALSE),0)) * IF(ISBLANK(F10),0,F10)</f>
        <v>0</v>
      </c>
      <c r="I10" s="307"/>
    </row>
    <row r="11" spans="1:12" s="306" customFormat="1">
      <c r="A11" s="300"/>
      <c r="B11" s="301"/>
      <c r="C11" s="301"/>
      <c r="D11" s="302"/>
      <c r="E11" s="302"/>
      <c r="F11" s="303"/>
      <c r="G11" s="318">
        <f>IF(ISBLANK(#REF!),0,IFERROR(VLOOKUP(B11,IntialEstWeightedValues!$A$6:$G$17,IF(E11="Small",IF(D11="New",2,3),IF(E11="Medium",IF(D11="New",4,5),IF(E11="Large",IF(D11="New",6,7)))),FALSE),0)) * IF(ISBLANK(F11),0,F11)</f>
        <v>0</v>
      </c>
    </row>
    <row r="12" spans="1:12" s="306" customFormat="1">
      <c r="A12" s="300"/>
      <c r="B12" s="301"/>
      <c r="C12" s="301"/>
      <c r="D12" s="302"/>
      <c r="E12" s="302"/>
      <c r="F12" s="303"/>
      <c r="G12" s="318">
        <f>IF(ISBLANK(#REF!),0,IFERROR(VLOOKUP(B12,IntialEstWeightedValues!$A$6:$G$17,IF(E12="Small",IF(D12="New",2,3),IF(E12="Medium",IF(D12="New",4,5),IF(E12="Large",IF(D12="New",6,7)))),FALSE),0)) * IF(ISBLANK(F12),0,F12)</f>
        <v>0</v>
      </c>
    </row>
    <row r="13" spans="1:12" s="306" customFormat="1">
      <c r="A13" s="300"/>
      <c r="B13" s="301"/>
      <c r="C13" s="301"/>
      <c r="D13" s="302"/>
      <c r="E13" s="302"/>
      <c r="F13" s="303"/>
      <c r="G13" s="318">
        <f>IF(ISBLANK(#REF!),0,IFERROR(VLOOKUP(B13,IntialEstWeightedValues!$A$6:$G$17,IF(E13="Small",IF(D13="New",2,3),IF(E13="Medium",IF(D13="New",4,5),IF(E13="Large",IF(D13="New",6,7)))),FALSE),0)) * IF(ISBLANK(F13),0,F13)</f>
        <v>0</v>
      </c>
    </row>
    <row r="14" spans="1:12" s="306" customFormat="1">
      <c r="A14" s="300"/>
      <c r="B14" s="301"/>
      <c r="C14" s="301"/>
      <c r="D14" s="302"/>
      <c r="E14" s="302"/>
      <c r="F14" s="303"/>
      <c r="G14" s="318">
        <f>IF(ISBLANK(#REF!),0,IFERROR(VLOOKUP(B14,IntialEstWeightedValues!$A$6:$G$17,IF(E14="Small",IF(D14="New",2,3),IF(E14="Medium",IF(D14="New",4,5),IF(E14="Large",IF(D14="New",6,7)))),FALSE),0)) * IF(ISBLANK(F14),0,F14)</f>
        <v>0</v>
      </c>
    </row>
    <row r="15" spans="1:12" s="306" customFormat="1">
      <c r="A15" s="300"/>
      <c r="B15" s="301"/>
      <c r="C15" s="301"/>
      <c r="D15" s="302"/>
      <c r="E15" s="302"/>
      <c r="F15" s="303"/>
      <c r="G15" s="318">
        <f>IF(ISBLANK(#REF!),0,IFERROR(VLOOKUP(B15,IntialEstWeightedValues!$A$6:$G$17,IF(E15="Small",IF(D15="New",2,3),IF(E15="Medium",IF(D15="New",4,5),IF(E15="Large",IF(D15="New",6,7)))),FALSE),0)) * IF(ISBLANK(F15),0,F15)</f>
        <v>0</v>
      </c>
    </row>
    <row r="16" spans="1:12" s="306" customFormat="1">
      <c r="A16" s="300"/>
      <c r="B16" s="301"/>
      <c r="C16" s="301"/>
      <c r="D16" s="302"/>
      <c r="E16" s="302"/>
      <c r="F16" s="303"/>
      <c r="G16" s="318">
        <f>IF(ISBLANK(#REF!),0,IFERROR(VLOOKUP(B16,IntialEstWeightedValues!$A$6:$G$17,IF(E16="Small",IF(D16="New",2,3),IF(E16="Medium",IF(D16="New",4,5),IF(E16="Large",IF(D16="New",6,7)))),FALSE),0)) * IF(ISBLANK(F16),0,F16)</f>
        <v>0</v>
      </c>
    </row>
    <row r="17" spans="1:15" s="306" customFormat="1">
      <c r="A17" s="300"/>
      <c r="B17" s="301"/>
      <c r="C17" s="301"/>
      <c r="D17" s="302"/>
      <c r="E17" s="302"/>
      <c r="F17" s="303"/>
      <c r="G17" s="318">
        <f>IF(ISBLANK(#REF!),0,IFERROR(VLOOKUP(B17,IntialEstWeightedValues!$A$6:$G$17,IF(E17="Small",IF(D17="New",2,3),IF(E17="Medium",IF(D17="New",4,5),IF(E17="Large",IF(D17="New",6,7)))),FALSE),0)) * IF(ISBLANK(F17),0,F17)</f>
        <v>0</v>
      </c>
    </row>
    <row r="18" spans="1:15" s="306" customFormat="1">
      <c r="A18" s="300"/>
      <c r="B18" s="301"/>
      <c r="C18" s="301"/>
      <c r="D18" s="302"/>
      <c r="E18" s="302"/>
      <c r="F18" s="303"/>
      <c r="G18" s="318">
        <f>IF(ISBLANK(#REF!),0,IFERROR(VLOOKUP(B18,IntialEstWeightedValues!$A$6:$G$17,IF(E18="Small",IF(D18="New",2,3),IF(E18="Medium",IF(D18="New",4,5),IF(E18="Large",IF(D18="New",6,7)))),FALSE),0)) * IF(ISBLANK(F18),0,F18)</f>
        <v>0</v>
      </c>
    </row>
    <row r="19" spans="1:15" s="306" customFormat="1">
      <c r="A19" s="300"/>
      <c r="B19" s="301"/>
      <c r="C19" s="301"/>
      <c r="D19" s="302"/>
      <c r="E19" s="302"/>
      <c r="F19" s="303"/>
      <c r="G19" s="318">
        <f>IF(ISBLANK(#REF!),0,IFERROR(VLOOKUP(B19,IntialEstWeightedValues!$A$6:$G$17,IF(E19="Small",IF(D19="New",2,3),IF(E19="Medium",IF(D19="New",4,5),IF(E19="Large",IF(D19="New",6,7)))),FALSE),0)) * IF(ISBLANK(F19),0,F19)</f>
        <v>0</v>
      </c>
    </row>
    <row r="20" spans="1:15" s="306" customFormat="1">
      <c r="A20" s="300"/>
      <c r="B20" s="301"/>
      <c r="C20" s="301"/>
      <c r="D20" s="302"/>
      <c r="E20" s="302"/>
      <c r="F20" s="303"/>
      <c r="G20" s="318">
        <f>IF(ISBLANK(#REF!),0,IFERROR(VLOOKUP(B20,IntialEstWeightedValues!$A$6:$G$17,IF(E20="Small",IF(D20="New",2,3),IF(E20="Medium",IF(D20="New",4,5),IF(E20="Large",IF(D20="New",6,7)))),FALSE),0)) * IF(ISBLANK(F20),0,F20)</f>
        <v>0</v>
      </c>
    </row>
    <row r="21" spans="1:15" s="306" customFormat="1">
      <c r="A21" s="300"/>
      <c r="B21" s="301"/>
      <c r="C21" s="301"/>
      <c r="D21" s="302"/>
      <c r="E21" s="302"/>
      <c r="F21" s="303"/>
      <c r="G21" s="318">
        <f>IF(ISBLANK(#REF!),0,IFERROR(VLOOKUP(B21,IntialEstWeightedValues!$A$6:$G$17,IF(E21="Small",IF(D21="New",2,3),IF(E21="Medium",IF(D21="New",4,5),IF(E21="Large",IF(D21="New",6,7)))),FALSE),0)) * IF(ISBLANK(F21),0,F21)</f>
        <v>0</v>
      </c>
    </row>
    <row r="22" spans="1:15" s="306" customFormat="1">
      <c r="A22" s="300"/>
      <c r="B22" s="301"/>
      <c r="C22" s="301"/>
      <c r="D22" s="302"/>
      <c r="E22" s="302"/>
      <c r="F22" s="303"/>
      <c r="G22" s="318">
        <f>IF(ISBLANK(#REF!),0,IFERROR(VLOOKUP(B22,IntialEstWeightedValues!$A$6:$G$17,IF(E22="Small",IF(D22="New",2,3),IF(E22="Medium",IF(D22="New",4,5),IF(E22="Large",IF(D22="New",6,7)))),FALSE),0)) * IF(ISBLANK(F22),0,F22)</f>
        <v>0</v>
      </c>
    </row>
    <row r="23" spans="1:15" s="306" customFormat="1">
      <c r="A23" s="304"/>
      <c r="B23" s="305"/>
      <c r="C23" s="305"/>
      <c r="D23" s="305"/>
      <c r="E23" s="305"/>
      <c r="F23" s="305"/>
      <c r="G23" s="319">
        <f>SUM(G2:G22)</f>
        <v>11.875</v>
      </c>
    </row>
    <row r="26" spans="1:15" ht="31.5">
      <c r="F26" s="225" t="s">
        <v>368</v>
      </c>
      <c r="G26" s="371" t="s">
        <v>367</v>
      </c>
      <c r="H26" s="403" t="s">
        <v>194</v>
      </c>
      <c r="I26" s="403" t="s">
        <v>189</v>
      </c>
    </row>
    <row r="27" spans="1:15">
      <c r="F27" s="250" t="s">
        <v>243</v>
      </c>
      <c r="G27" s="342">
        <f>G23</f>
        <v>11.875</v>
      </c>
      <c r="H27" s="341">
        <v>0</v>
      </c>
      <c r="I27" s="343">
        <f>(G27+H27)</f>
        <v>11.875</v>
      </c>
    </row>
    <row r="28" spans="1:15" ht="71.099999999999994" customHeight="1">
      <c r="A28" s="48"/>
      <c r="B28" s="99"/>
      <c r="C28" s="99"/>
      <c r="D28" s="99"/>
      <c r="E28" s="99"/>
      <c r="F28" s="250" t="s">
        <v>265</v>
      </c>
      <c r="G28" s="342">
        <f>ROUNDUP((I27+I30)*(IntialEstWeightedValues!B20/100),2)</f>
        <v>20.220000000000002</v>
      </c>
      <c r="H28" s="341">
        <v>0</v>
      </c>
      <c r="I28" s="343">
        <f t="shared" ref="I28:I34" si="0">(G28+H28)</f>
        <v>20.220000000000002</v>
      </c>
    </row>
    <row r="29" spans="1:15" ht="55.15" customHeight="1">
      <c r="A29" s="48"/>
      <c r="B29" s="99"/>
      <c r="C29" s="99"/>
      <c r="D29" s="99"/>
      <c r="E29" s="99"/>
      <c r="F29" s="250" t="s">
        <v>213</v>
      </c>
      <c r="G29" s="342">
        <f>ROUNDUP((I27+I30)*(IntialEstWeightedValues!B21/100),2)</f>
        <v>60.64</v>
      </c>
      <c r="H29" s="341">
        <v>0</v>
      </c>
      <c r="I29" s="343">
        <f t="shared" si="0"/>
        <v>60.64</v>
      </c>
      <c r="J29" s="368" t="s">
        <v>195</v>
      </c>
      <c r="K29" s="368" t="s">
        <v>62</v>
      </c>
      <c r="L29" s="368" t="s">
        <v>131</v>
      </c>
      <c r="M29" s="368" t="s">
        <v>64</v>
      </c>
      <c r="N29" s="368" t="s">
        <v>72</v>
      </c>
      <c r="O29" s="368" t="s">
        <v>196</v>
      </c>
    </row>
    <row r="30" spans="1:15" ht="135" customHeight="1">
      <c r="A30" s="48"/>
      <c r="B30" s="99"/>
      <c r="C30" s="99"/>
      <c r="D30" s="99"/>
      <c r="E30" s="99"/>
      <c r="F30" s="250" t="s">
        <v>214</v>
      </c>
      <c r="G30" s="342">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392.33</v>
      </c>
      <c r="H30" s="341">
        <v>0</v>
      </c>
      <c r="I30" s="343">
        <f>(G30+H30)</f>
        <v>392.33</v>
      </c>
      <c r="J30" s="251" t="s">
        <v>421</v>
      </c>
      <c r="K30" s="252"/>
      <c r="L30" s="252"/>
      <c r="M30" s="252"/>
      <c r="N30" s="252">
        <v>10</v>
      </c>
      <c r="O30" s="252">
        <v>2.5</v>
      </c>
    </row>
    <row r="31" spans="1:15" ht="72" customHeight="1">
      <c r="A31" s="48"/>
      <c r="B31" s="99"/>
      <c r="C31" s="99"/>
      <c r="D31" s="99"/>
      <c r="E31" s="99"/>
      <c r="F31" s="250" t="s">
        <v>416</v>
      </c>
      <c r="G31" s="342">
        <f>ROUNDUP(($I$27)*(IntialEstWeightedValues!$B$23/100),2)</f>
        <v>0.6</v>
      </c>
      <c r="H31" s="341">
        <v>4.4000000000000004</v>
      </c>
      <c r="I31" s="343">
        <f t="shared" ref="I31" si="1">(G31+H31)</f>
        <v>5</v>
      </c>
    </row>
    <row r="32" spans="1:15" ht="45" customHeight="1">
      <c r="A32" s="48"/>
      <c r="B32" s="99"/>
      <c r="C32" s="99"/>
      <c r="D32" s="99"/>
      <c r="E32" s="99"/>
      <c r="F32" s="250" t="s">
        <v>384</v>
      </c>
      <c r="G32" s="342">
        <f>ROUNDUP(($I$27)*(IntialEstWeightedValues!$B$23/100),2)</f>
        <v>0.6</v>
      </c>
      <c r="H32" s="341">
        <v>9.4</v>
      </c>
      <c r="I32" s="343">
        <f t="shared" si="0"/>
        <v>10</v>
      </c>
    </row>
    <row r="33" spans="1:13" ht="86.45" customHeight="1">
      <c r="A33" s="48"/>
      <c r="B33" s="99"/>
      <c r="C33" s="99"/>
      <c r="D33" s="99"/>
      <c r="E33" s="99"/>
      <c r="F33" s="250" t="s">
        <v>380</v>
      </c>
      <c r="G33" s="342">
        <f>ROUNDUP($I$30*(IntialEstWeightedValues!$B$24/100),2)</f>
        <v>78.47</v>
      </c>
      <c r="H33" s="341">
        <v>0</v>
      </c>
      <c r="I33" s="343">
        <f t="shared" si="0"/>
        <v>78.47</v>
      </c>
      <c r="J33" s="404" t="s">
        <v>197</v>
      </c>
    </row>
    <row r="34" spans="1:13" ht="109.9" customHeight="1">
      <c r="A34" s="48"/>
      <c r="B34" s="99"/>
      <c r="C34" s="99"/>
      <c r="D34" s="99"/>
      <c r="E34" s="99"/>
      <c r="F34" s="250" t="s">
        <v>215</v>
      </c>
      <c r="G34" s="342">
        <f>ROUNDUP((I27+I28+I29+I30+I31+I32+I33)*(J34/100),2)</f>
        <v>86.79</v>
      </c>
      <c r="H34" s="341">
        <v>0</v>
      </c>
      <c r="I34" s="343">
        <f t="shared" si="0"/>
        <v>86.79</v>
      </c>
      <c r="J34" s="252">
        <v>15</v>
      </c>
    </row>
    <row r="35" spans="1:13" ht="53.1" customHeight="1">
      <c r="A35" s="48"/>
      <c r="B35" s="99"/>
      <c r="C35" s="99"/>
      <c r="D35" s="99"/>
      <c r="E35" s="99"/>
      <c r="F35" s="423" t="s">
        <v>227</v>
      </c>
      <c r="G35" s="371" t="s">
        <v>367</v>
      </c>
      <c r="H35" s="403" t="s">
        <v>194</v>
      </c>
      <c r="I35" s="403" t="s">
        <v>189</v>
      </c>
      <c r="J35" s="371" t="s">
        <v>413</v>
      </c>
      <c r="K35" s="371" t="s">
        <v>412</v>
      </c>
      <c r="L35" s="371" t="s">
        <v>374</v>
      </c>
      <c r="M35" s="371" t="s">
        <v>411</v>
      </c>
    </row>
    <row r="36" spans="1:13" ht="152.44999999999999" customHeight="1">
      <c r="A36" s="48"/>
      <c r="B36" s="99"/>
      <c r="C36" s="99"/>
      <c r="D36" s="99"/>
      <c r="E36" s="99"/>
      <c r="F36" s="250" t="s">
        <v>378</v>
      </c>
      <c r="G36" s="342">
        <f>ROUNDUP((J36 * L36 * (K36/60)) + (J36 * L36 * (M36/60)),2)</f>
        <v>40</v>
      </c>
      <c r="H36" s="341">
        <v>0</v>
      </c>
      <c r="I36" s="343">
        <f t="shared" ref="I36:I39" si="2">(G36+H36)</f>
        <v>40</v>
      </c>
      <c r="J36" s="252">
        <v>8</v>
      </c>
      <c r="K36" s="252">
        <v>30</v>
      </c>
      <c r="L36" s="252">
        <v>5</v>
      </c>
      <c r="M36" s="252">
        <v>30</v>
      </c>
    </row>
    <row r="37" spans="1:13" ht="126.75" customHeight="1">
      <c r="A37" s="48"/>
      <c r="B37" s="99"/>
      <c r="C37" s="99"/>
      <c r="D37" s="99"/>
      <c r="E37" s="99"/>
      <c r="F37" s="250" t="s">
        <v>375</v>
      </c>
      <c r="G37" s="342">
        <f>ROUNDUP((J37 * L37 * (K37/60)) + (J37 * L37 * (M37/60)),2)</f>
        <v>0</v>
      </c>
      <c r="H37" s="341">
        <v>0</v>
      </c>
      <c r="I37" s="343">
        <f t="shared" ref="I37:I38" si="3">(G37+H37)</f>
        <v>0</v>
      </c>
      <c r="J37" s="252"/>
      <c r="K37" s="252"/>
      <c r="L37" s="252"/>
      <c r="M37" s="252"/>
    </row>
    <row r="38" spans="1:13" ht="126.75" customHeight="1">
      <c r="A38" s="48"/>
      <c r="B38" s="99"/>
      <c r="C38" s="99"/>
      <c r="D38" s="99"/>
      <c r="E38" s="99"/>
      <c r="F38" s="250" t="s">
        <v>376</v>
      </c>
      <c r="G38" s="342">
        <f>ROUNDUP((J38 * L38 * (K38/60)) + (J38 * L38 * (M38/60)),2)</f>
        <v>0</v>
      </c>
      <c r="H38" s="341">
        <v>0</v>
      </c>
      <c r="I38" s="343">
        <f t="shared" si="3"/>
        <v>0</v>
      </c>
      <c r="J38" s="252"/>
      <c r="K38" s="252"/>
      <c r="L38" s="252"/>
      <c r="M38" s="252"/>
    </row>
    <row r="39" spans="1:13" ht="125.45" customHeight="1">
      <c r="A39" s="48"/>
      <c r="B39" s="99"/>
      <c r="C39" s="99"/>
      <c r="D39" s="99"/>
      <c r="E39" s="99"/>
      <c r="F39" s="250" t="s">
        <v>377</v>
      </c>
      <c r="G39" s="342">
        <f>ROUNDUP((J39 * L39 * (K39/60)) + (J39 * L39 * (M39/60)),2)</f>
        <v>0</v>
      </c>
      <c r="H39" s="341">
        <v>0</v>
      </c>
      <c r="I39" s="343">
        <f t="shared" si="2"/>
        <v>0</v>
      </c>
      <c r="J39" s="252"/>
      <c r="K39" s="252"/>
      <c r="L39" s="252"/>
      <c r="M39" s="252"/>
    </row>
    <row r="40" spans="1:13" ht="38.25">
      <c r="A40" s="48"/>
      <c r="B40" s="99"/>
      <c r="C40" s="99"/>
      <c r="D40" s="99"/>
      <c r="E40" s="99"/>
      <c r="F40" s="250" t="s">
        <v>369</v>
      </c>
      <c r="G40" s="342"/>
      <c r="H40" s="341">
        <v>15</v>
      </c>
      <c r="I40" s="343">
        <f>H40</f>
        <v>15</v>
      </c>
    </row>
    <row r="41" spans="1:13" ht="25.5">
      <c r="A41" s="48"/>
      <c r="B41" s="99"/>
      <c r="C41" s="99"/>
      <c r="D41" s="99"/>
      <c r="E41" s="99"/>
      <c r="F41" s="250" t="s">
        <v>414</v>
      </c>
      <c r="G41" s="355">
        <v>46002</v>
      </c>
      <c r="H41" s="341">
        <v>28.75</v>
      </c>
      <c r="I41" s="343">
        <f>H41</f>
        <v>28.75</v>
      </c>
    </row>
    <row r="42" spans="1:13">
      <c r="A42" s="48"/>
      <c r="B42" s="99"/>
      <c r="C42" s="99"/>
      <c r="D42" s="99"/>
      <c r="E42" s="99"/>
      <c r="F42" s="250" t="s">
        <v>415</v>
      </c>
      <c r="G42" s="342"/>
      <c r="H42" s="341">
        <v>10</v>
      </c>
      <c r="I42" s="343">
        <f>H42</f>
        <v>10</v>
      </c>
    </row>
    <row r="43" spans="1:13" ht="15.75">
      <c r="A43" s="48"/>
      <c r="B43" s="100"/>
      <c r="C43" s="100"/>
      <c r="D43" s="100"/>
      <c r="E43" s="100"/>
      <c r="F43" s="253" t="s">
        <v>21</v>
      </c>
      <c r="G43" s="441"/>
      <c r="H43" s="441"/>
      <c r="I43" s="343">
        <f>ROUNDUP(SUM(I27:I42),2)</f>
        <v>759.08</v>
      </c>
    </row>
    <row r="44" spans="1:13" ht="15.75">
      <c r="D44" s="100"/>
      <c r="E44" s="100"/>
      <c r="F44" s="253" t="s">
        <v>128</v>
      </c>
      <c r="G44" s="441">
        <f>IFERROR(INDEX({"Small","Medium","Large","X-Large","XL1","XL2","XL3","XL4","XL5","XL6","XL7","XL8"},MATCH(G43,{1,100,300,750,1000,2000,3000,4000,5000,6000,7000,8000},1)),0)</f>
        <v>0</v>
      </c>
      <c r="H44" s="441"/>
      <c r="I44" s="343" t="str">
        <f>IFERROR(INDEX({"Small","Medium","Large","X-Large","XL1","XL2","XL3","XL4","XL5","XL6","XL7","XL8"},MATCH(I43,{1,100,300,750,1000,2000,3000,4000,5000,6000,7000,8000},1)),0)</f>
        <v>X-Large</v>
      </c>
    </row>
    <row r="45" spans="1:13" ht="20.25">
      <c r="A45" s="314" t="s">
        <v>273</v>
      </c>
      <c r="D45" s="100"/>
      <c r="E45" s="100"/>
      <c r="F45" s="100"/>
      <c r="G45" s="100"/>
      <c r="H45" s="100"/>
      <c r="I45" s="100"/>
    </row>
    <row r="46" spans="1:13" ht="18">
      <c r="A46" s="312" t="s">
        <v>259</v>
      </c>
      <c r="B46" s="312" t="s">
        <v>6</v>
      </c>
    </row>
    <row r="47" spans="1:13" ht="15">
      <c r="A47" s="315" t="s">
        <v>260</v>
      </c>
      <c r="B47" s="313">
        <f>ROUNDUP((I28/2)+I29+I32+I33+(I41/2)+(I42/2),2)</f>
        <v>178.6</v>
      </c>
      <c r="D47" s="94"/>
      <c r="E47" s="94"/>
      <c r="F47" s="94"/>
      <c r="G47" s="94"/>
      <c r="H47" s="94"/>
      <c r="I47" s="94"/>
      <c r="J47" s="94"/>
      <c r="L47" s="94"/>
      <c r="M47" s="94"/>
    </row>
    <row r="48" spans="1:13" ht="15">
      <c r="A48" s="315" t="s">
        <v>261</v>
      </c>
      <c r="B48" s="313">
        <f>ROUNDUP(I27+(I28/2)+I31+(I41/2)+(I42/2),2)</f>
        <v>46.36</v>
      </c>
      <c r="C48" s="94"/>
      <c r="D48" s="94"/>
      <c r="E48" s="94"/>
      <c r="F48" s="94"/>
      <c r="G48" s="94"/>
      <c r="H48" s="94"/>
      <c r="I48" s="94"/>
      <c r="J48" s="94"/>
      <c r="K48" s="94"/>
      <c r="L48" s="94"/>
      <c r="M48" s="94"/>
    </row>
    <row r="49" spans="1:13" ht="15">
      <c r="A49" s="315" t="s">
        <v>281</v>
      </c>
      <c r="B49" s="313">
        <f>I30</f>
        <v>392.33</v>
      </c>
      <c r="C49" s="94"/>
      <c r="D49" s="94"/>
      <c r="E49" s="94"/>
      <c r="F49" s="94"/>
      <c r="G49" s="94"/>
      <c r="H49" s="94"/>
      <c r="I49" s="94"/>
      <c r="J49" s="94"/>
      <c r="K49" s="94"/>
      <c r="L49" s="94"/>
      <c r="M49" s="94"/>
    </row>
    <row r="50" spans="1:13" ht="15">
      <c r="A50" s="315" t="s">
        <v>257</v>
      </c>
      <c r="B50" s="313">
        <f>I34</f>
        <v>86.79</v>
      </c>
      <c r="C50" s="94"/>
      <c r="D50" s="94"/>
      <c r="E50" s="94"/>
      <c r="F50" s="94"/>
      <c r="G50" s="94"/>
      <c r="H50" s="94"/>
      <c r="I50" s="94"/>
      <c r="J50" s="94"/>
      <c r="K50" s="94"/>
      <c r="L50" s="94"/>
      <c r="M50" s="94"/>
    </row>
    <row r="51" spans="1:13" ht="15">
      <c r="A51" s="315" t="s">
        <v>258</v>
      </c>
      <c r="B51" s="428">
        <f>SUM(I36:I40)</f>
        <v>55</v>
      </c>
      <c r="C51" s="94"/>
      <c r="D51" s="94"/>
      <c r="E51" s="94"/>
      <c r="F51" s="94"/>
      <c r="G51" s="94"/>
      <c r="H51" s="94"/>
      <c r="I51" s="94"/>
      <c r="J51" s="94"/>
      <c r="K51" s="94"/>
      <c r="L51" s="94"/>
      <c r="M51" s="94"/>
    </row>
    <row r="52" spans="1:13">
      <c r="A52" s="48"/>
      <c r="B52" s="94"/>
      <c r="C52" s="94"/>
      <c r="D52" s="94"/>
      <c r="E52" s="94"/>
      <c r="F52" s="94"/>
      <c r="G52" s="94"/>
      <c r="H52" s="94"/>
      <c r="I52" s="94"/>
      <c r="J52" s="94"/>
      <c r="K52" s="94"/>
      <c r="L52" s="94"/>
      <c r="M52" s="94"/>
    </row>
    <row r="53" spans="1:13" ht="29.45" customHeight="1">
      <c r="A53" s="48" t="s">
        <v>30</v>
      </c>
      <c r="B53" s="442" t="s">
        <v>422</v>
      </c>
      <c r="C53" s="443"/>
      <c r="D53" s="94"/>
      <c r="E53" s="94"/>
      <c r="F53" s="94"/>
      <c r="G53" s="94"/>
      <c r="H53" s="94"/>
      <c r="I53" s="94"/>
      <c r="J53" s="94"/>
      <c r="K53" s="94"/>
      <c r="L53" s="94"/>
      <c r="M53" s="94"/>
    </row>
    <row r="54" spans="1:13">
      <c r="A54" s="48"/>
      <c r="B54" s="94"/>
      <c r="C54" s="94"/>
      <c r="D54" s="94"/>
      <c r="E54" s="94"/>
      <c r="F54" s="94"/>
      <c r="G54" s="94"/>
      <c r="H54" s="94"/>
      <c r="I54" s="94"/>
      <c r="J54" s="94"/>
      <c r="K54" s="94"/>
      <c r="L54" s="94"/>
      <c r="M54" s="94"/>
    </row>
    <row r="55" spans="1:13">
      <c r="A55" s="48"/>
      <c r="B55" s="100"/>
      <c r="C55" s="100"/>
      <c r="D55" s="100"/>
      <c r="E55" s="100"/>
      <c r="F55" s="100"/>
      <c r="G55" s="100"/>
      <c r="H55" s="100"/>
      <c r="I55" s="100"/>
      <c r="J55" s="100"/>
      <c r="K55" s="100"/>
      <c r="L55" s="100"/>
      <c r="M55" s="100"/>
    </row>
    <row r="56" spans="1:13" ht="25.5">
      <c r="A56" s="101" t="s">
        <v>198</v>
      </c>
      <c r="B56" s="444" t="s">
        <v>433</v>
      </c>
      <c r="C56" s="445"/>
      <c r="D56" s="445"/>
      <c r="E56" s="445"/>
      <c r="F56" s="445"/>
      <c r="G56" s="446"/>
      <c r="H56" s="226"/>
      <c r="I56" s="226"/>
    </row>
    <row r="57" spans="1:13">
      <c r="A57" s="48"/>
      <c r="B57" s="447"/>
      <c r="C57" s="448"/>
      <c r="D57" s="448"/>
      <c r="E57" s="448"/>
      <c r="F57" s="448"/>
      <c r="G57" s="449"/>
      <c r="H57" s="226"/>
      <c r="I57" s="226"/>
    </row>
    <row r="58" spans="1:13">
      <c r="A58" s="48"/>
      <c r="B58" s="447"/>
      <c r="C58" s="448"/>
      <c r="D58" s="448"/>
      <c r="E58" s="448"/>
      <c r="F58" s="448"/>
      <c r="G58" s="449"/>
      <c r="H58" s="226"/>
      <c r="I58" s="226"/>
    </row>
    <row r="59" spans="1:13">
      <c r="A59" s="48"/>
      <c r="B59" s="447"/>
      <c r="C59" s="448"/>
      <c r="D59" s="448"/>
      <c r="E59" s="448"/>
      <c r="F59" s="448"/>
      <c r="G59" s="449"/>
      <c r="H59" s="226"/>
      <c r="I59" s="226"/>
    </row>
    <row r="60" spans="1:13">
      <c r="A60" s="48"/>
      <c r="B60" s="450"/>
      <c r="C60" s="451"/>
      <c r="D60" s="451"/>
      <c r="E60" s="451"/>
      <c r="F60" s="451"/>
      <c r="G60" s="452"/>
      <c r="H60" s="226"/>
      <c r="I60" s="226"/>
    </row>
    <row r="61" spans="1:13" ht="15" thickBot="1">
      <c r="A61" s="48"/>
    </row>
    <row r="62" spans="1:13" ht="15" thickBot="1">
      <c r="A62" s="48" t="s">
        <v>129</v>
      </c>
      <c r="B62" s="102" t="s">
        <v>130</v>
      </c>
      <c r="C62" s="103" t="s">
        <v>140</v>
      </c>
      <c r="D62" s="104" t="s">
        <v>141</v>
      </c>
    </row>
    <row r="63" spans="1:13">
      <c r="A63" s="48"/>
      <c r="B63" s="105" t="s">
        <v>1</v>
      </c>
      <c r="C63" s="106">
        <v>1</v>
      </c>
      <c r="D63" s="107">
        <v>99</v>
      </c>
    </row>
    <row r="64" spans="1:13">
      <c r="A64" s="48"/>
      <c r="B64" s="108" t="s">
        <v>131</v>
      </c>
      <c r="C64" s="109">
        <v>100</v>
      </c>
      <c r="D64" s="110">
        <v>299</v>
      </c>
    </row>
    <row r="65" spans="1:4">
      <c r="A65" s="48"/>
      <c r="B65" s="108" t="s">
        <v>2</v>
      </c>
      <c r="C65" s="109">
        <v>300</v>
      </c>
      <c r="D65" s="110">
        <v>749</v>
      </c>
    </row>
    <row r="66" spans="1:4">
      <c r="A66" s="48"/>
      <c r="B66" s="108" t="s">
        <v>132</v>
      </c>
      <c r="C66" s="109">
        <v>750</v>
      </c>
      <c r="D66" s="110">
        <v>999</v>
      </c>
    </row>
    <row r="67" spans="1:4">
      <c r="A67" s="48"/>
      <c r="B67" s="108" t="s">
        <v>133</v>
      </c>
      <c r="C67" s="109">
        <v>1000</v>
      </c>
      <c r="D67" s="110">
        <v>1999</v>
      </c>
    </row>
    <row r="68" spans="1:4">
      <c r="A68" s="48"/>
      <c r="B68" s="108" t="s">
        <v>134</v>
      </c>
      <c r="C68" s="109">
        <v>2000</v>
      </c>
      <c r="D68" s="110">
        <v>2999</v>
      </c>
    </row>
    <row r="69" spans="1:4">
      <c r="A69" s="48"/>
      <c r="B69" s="108" t="s">
        <v>135</v>
      </c>
      <c r="C69" s="109">
        <v>3000</v>
      </c>
      <c r="D69" s="110">
        <v>3999</v>
      </c>
    </row>
    <row r="70" spans="1:4">
      <c r="A70" s="48"/>
      <c r="B70" s="108" t="s">
        <v>136</v>
      </c>
      <c r="C70" s="109">
        <v>4000</v>
      </c>
      <c r="D70" s="111">
        <v>4999</v>
      </c>
    </row>
    <row r="71" spans="1:4">
      <c r="A71" s="48"/>
      <c r="B71" s="108" t="s">
        <v>137</v>
      </c>
      <c r="C71" s="109">
        <v>5000</v>
      </c>
      <c r="D71" s="111">
        <v>5999</v>
      </c>
    </row>
    <row r="72" spans="1:4">
      <c r="A72" s="48"/>
      <c r="B72" s="108" t="s">
        <v>138</v>
      </c>
      <c r="C72" s="109">
        <v>6000</v>
      </c>
      <c r="D72" s="111">
        <v>6999</v>
      </c>
    </row>
    <row r="73" spans="1:4">
      <c r="A73" s="48"/>
      <c r="B73" s="108" t="s">
        <v>139</v>
      </c>
      <c r="C73" s="109">
        <v>7000</v>
      </c>
      <c r="D73" s="111">
        <v>7999</v>
      </c>
    </row>
    <row r="74" spans="1:4" ht="15" thickBot="1">
      <c r="A74" s="48"/>
      <c r="B74" s="435" t="s">
        <v>199</v>
      </c>
      <c r="C74" s="436"/>
      <c r="D74" s="437"/>
    </row>
  </sheetData>
  <sheetProtection algorithmName="SHA-512" hashValue="hrHMRO2NDdMMR9JJ1RY7O+l+Yr9RxtBJIP0/LyKELcS3ooLzurcYJxiZOXdsXy0rOh1aJYKJe+1cgMeB3JUBsw==" saltValue="zipsBtfAXkThO36PahaKdA==" spinCount="100000" sheet="1" selectLockedCells="1"/>
  <protectedRanges>
    <protectedRange sqref="G61:G1048576 G43:G55 G1:G25 G27:G34 G36:G39" name="Range5"/>
    <protectedRange sqref="G28:I29 F30:G30 F35 I30 G36:I42 G31:I34 B28:E42" name="Range2"/>
    <protectedRange sqref="B48:C52 B54:C54" name="Range3"/>
    <protectedRange sqref="H56:I60" name="Range4"/>
    <protectedRange sqref="K30:O30" name="Range2_2"/>
    <protectedRange sqref="H30" name="Range2_1"/>
    <protectedRange sqref="G56:G60" name="Range5_1"/>
    <protectedRange sqref="B56:G60" name="Range4_1"/>
    <protectedRange sqref="B53:C53" name="Range3_1"/>
  </protectedRanges>
  <sortState xmlns:xlrd2="http://schemas.microsoft.com/office/spreadsheetml/2017/richdata2" ref="A7:O15">
    <sortCondition ref="A7:A15"/>
  </sortState>
  <mergeCells count="9">
    <mergeCell ref="B1:F1"/>
    <mergeCell ref="B2:F2"/>
    <mergeCell ref="B74:D74"/>
    <mergeCell ref="A3:E3"/>
    <mergeCell ref="F3:G3"/>
    <mergeCell ref="G43:H43"/>
    <mergeCell ref="G44:H44"/>
    <mergeCell ref="B53:C53"/>
    <mergeCell ref="B56:G60"/>
  </mergeCells>
  <conditionalFormatting sqref="G44">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count="9">
    <dataValidation type="list" allowBlank="1" showInputMessage="1" showErrorMessage="1" sqref="J30" xr:uid="{00000000-0002-0000-0000-000002000000}">
      <formula1>"YES, NO"</formula1>
    </dataValidation>
    <dataValidation type="list" allowBlank="1" showInputMessage="1" showErrorMessage="1" sqref="J34 L40:L42" xr:uid="{00000000-0002-0000-0000-000004000000}">
      <formula1>"1,2,3,4,5,6,7,8,9,10,11,12,13,14,15,16,17,18,19,20"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 type="list" allowBlank="1" showInputMessage="1" showErrorMessage="1" sqref="K40:K42" xr:uid="{00000000-0002-0000-0000-000000000000}">
      <formula1>"15, 30, 45, 60"</formula1>
    </dataValidation>
    <dataValidation type="list" allowBlank="1" showInputMessage="1" showErrorMessage="1" sqref="J40:J42 L36 J36" xr:uid="{00000000-0002-0000-0000-000001000000}">
      <formula1>"0,1,2,3,4,5,6,7,8,9,10,11,12,13,14,15,16,17,18,19,20"</formula1>
    </dataValidation>
    <dataValidation type="list" allowBlank="1" showInputMessage="1" showErrorMessage="1" sqref="M40:M42" xr:uid="{00000000-0002-0000-0000-000003000000}">
      <formula1>"10,20,30,40,50,60,70,80,90,100,110,120,130,140,150,160,170,180"</formula1>
    </dataValidation>
    <dataValidation type="list" allowBlank="1" showInputMessage="1" showErrorMessage="1" sqref="K36:K39" xr:uid="{76B43269-D849-4D61-AF97-E231FEED41B2}">
      <formula1>"0, 15, 30, 45, 60"</formula1>
    </dataValidation>
    <dataValidation type="list" allowBlank="1" showInputMessage="1" showErrorMessage="1" sqref="M36:M39" xr:uid="{8B483B9E-5299-49F6-8230-CD689F8637C2}">
      <formula1>"0,15,30,45,60,75,90,105,120,135,150,165,180"</formula1>
    </dataValidation>
  </dataValidations>
  <pageMargins left="0.7" right="0.7" top="0.75" bottom="0.75" header="0.3" footer="0.3"/>
  <pageSetup paperSize="5" scale="60"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38100</xdr:colOff>
                    <xdr:row>22</xdr:row>
                    <xdr:rowOff>38100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1"/>
  <sheetViews>
    <sheetView showGridLines="0" showRuler="0" zoomScaleNormal="100" zoomScalePageLayoutView="107" workbookViewId="0">
      <selection activeCell="E5" sqref="E5"/>
    </sheetView>
  </sheetViews>
  <sheetFormatPr defaultColWidth="8.42578125" defaultRowHeight="12.75" outlineLevelRow="2"/>
  <cols>
    <col min="1" max="1" width="78" style="112" bestFit="1" customWidth="1"/>
    <col min="2" max="2" width="16.42578125" style="112" bestFit="1" customWidth="1"/>
    <col min="3" max="3" width="16.42578125" style="112" customWidth="1"/>
    <col min="4" max="4" width="20.42578125" style="112" customWidth="1"/>
    <col min="5" max="5" width="17.42578125" style="112" customWidth="1"/>
    <col min="6" max="6" width="16" style="112" bestFit="1" customWidth="1"/>
    <col min="7" max="7" width="10.42578125" style="113" customWidth="1"/>
    <col min="8" max="16384" width="8.42578125" style="112"/>
  </cols>
  <sheetData>
    <row r="1" spans="1:16">
      <c r="A1" s="372" t="str">
        <f>InitialEstimate!A1</f>
        <v>Template Version:</v>
      </c>
      <c r="B1" s="455">
        <f>InitialEstimate!B1</f>
        <v>2.9</v>
      </c>
      <c r="C1" s="456"/>
      <c r="D1" s="456"/>
      <c r="E1" s="456"/>
      <c r="F1" s="457"/>
    </row>
    <row r="2" spans="1:16" ht="49.5" customHeight="1">
      <c r="A2" s="373" t="s">
        <v>20</v>
      </c>
      <c r="B2" s="434" t="s">
        <v>236</v>
      </c>
      <c r="C2" s="434"/>
      <c r="D2" s="434"/>
      <c r="E2" s="434"/>
      <c r="F2" s="434"/>
      <c r="G2" s="33"/>
      <c r="H2" s="32"/>
    </row>
    <row r="3" spans="1:16" s="115" customFormat="1" ht="38.85" customHeight="1">
      <c r="A3" s="208" t="s">
        <v>106</v>
      </c>
      <c r="B3" s="208"/>
      <c r="C3" s="208"/>
      <c r="D3" s="273"/>
      <c r="E3" s="208" t="s">
        <v>6</v>
      </c>
      <c r="F3" s="208"/>
      <c r="G3" s="114"/>
    </row>
    <row r="4" spans="1:16" s="36" customFormat="1" ht="26.1" customHeight="1">
      <c r="A4" s="208" t="s">
        <v>22</v>
      </c>
      <c r="B4" s="274" t="str">
        <f>InitialEstimate!F3</f>
        <v>CO 23810 003</v>
      </c>
      <c r="C4" s="112"/>
      <c r="D4" s="112"/>
      <c r="E4" s="112"/>
      <c r="G4" s="34"/>
      <c r="H4" s="35"/>
      <c r="I4" s="35"/>
      <c r="J4" s="35"/>
      <c r="N4" s="37"/>
      <c r="O4" s="37"/>
      <c r="P4" s="117"/>
    </row>
    <row r="5" spans="1:16" s="144" customFormat="1" ht="45.75">
      <c r="A5" s="219" t="s">
        <v>238</v>
      </c>
      <c r="C5" s="145"/>
      <c r="E5" s="290">
        <v>41.75</v>
      </c>
      <c r="F5" s="429">
        <v>46023</v>
      </c>
      <c r="G5" s="146"/>
      <c r="H5" s="147"/>
      <c r="I5" s="147"/>
      <c r="J5" s="147"/>
      <c r="N5" s="148"/>
      <c r="O5" s="148"/>
      <c r="P5" s="149"/>
    </row>
    <row r="6" spans="1:16" s="144" customFormat="1" ht="20.25">
      <c r="A6" s="221" t="s">
        <v>105</v>
      </c>
      <c r="B6" s="143"/>
      <c r="C6" s="81"/>
      <c r="E6" s="150">
        <f>E45</f>
        <v>14.5</v>
      </c>
      <c r="F6" s="81"/>
      <c r="G6" s="146"/>
      <c r="H6" s="147"/>
      <c r="I6" s="147"/>
      <c r="J6" s="147"/>
      <c r="N6" s="148"/>
      <c r="O6" s="148"/>
      <c r="P6" s="149"/>
    </row>
    <row r="7" spans="1:16" s="144" customFormat="1" ht="20.25">
      <c r="A7" s="221" t="s">
        <v>104</v>
      </c>
      <c r="B7" s="143"/>
      <c r="C7" s="81"/>
      <c r="E7" s="150">
        <f>E75</f>
        <v>484.75</v>
      </c>
      <c r="F7" s="81"/>
      <c r="G7" s="146"/>
      <c r="H7" s="147"/>
      <c r="I7" s="147"/>
      <c r="J7" s="147"/>
      <c r="N7" s="148"/>
      <c r="O7" s="148"/>
      <c r="P7" s="149"/>
    </row>
    <row r="8" spans="1:16" s="144" customFormat="1" ht="20.25">
      <c r="A8" s="221" t="s">
        <v>125</v>
      </c>
      <c r="B8" s="143"/>
      <c r="C8" s="81"/>
      <c r="E8" s="282">
        <f>E120</f>
        <v>187.5</v>
      </c>
      <c r="F8" s="81"/>
      <c r="G8" s="146"/>
      <c r="H8" s="147"/>
      <c r="I8" s="147"/>
      <c r="J8" s="147"/>
      <c r="N8" s="148"/>
      <c r="O8" s="148"/>
      <c r="P8" s="149"/>
    </row>
    <row r="9" spans="1:16" s="144" customFormat="1" ht="46.5" thickBot="1">
      <c r="A9" s="222" t="s">
        <v>223</v>
      </c>
      <c r="B9" s="143"/>
      <c r="C9" s="81"/>
      <c r="E9" s="150">
        <f>SUM(E5:E8)*0.05</f>
        <v>36.425000000000004</v>
      </c>
      <c r="F9" s="81"/>
      <c r="G9" s="146"/>
      <c r="H9" s="147"/>
      <c r="I9" s="147"/>
      <c r="J9" s="147"/>
      <c r="N9" s="148"/>
      <c r="O9" s="148"/>
      <c r="P9" s="149"/>
    </row>
    <row r="10" spans="1:16" s="144" customFormat="1" ht="40.9" customHeight="1" thickBot="1">
      <c r="A10" s="220" t="s">
        <v>234</v>
      </c>
      <c r="B10" s="143"/>
      <c r="C10" s="81"/>
      <c r="D10" s="81"/>
      <c r="E10" s="223">
        <f>SUM(E5:E9)</f>
        <v>764.92499999999995</v>
      </c>
      <c r="F10" s="230">
        <f>ROUNDUP(E10,-1)</f>
        <v>770</v>
      </c>
      <c r="H10" s="147"/>
      <c r="I10" s="147"/>
      <c r="J10" s="147"/>
      <c r="N10" s="148"/>
      <c r="O10" s="148"/>
      <c r="P10" s="149"/>
    </row>
    <row r="11" spans="1:16" s="36" customFormat="1" ht="20.25">
      <c r="B11" s="118"/>
      <c r="C11" s="112"/>
      <c r="D11" s="112"/>
      <c r="E11" s="118"/>
      <c r="F11" s="119"/>
      <c r="G11" s="34"/>
      <c r="H11" s="35"/>
      <c r="I11" s="35"/>
      <c r="J11" s="35"/>
      <c r="N11" s="37"/>
      <c r="O11" s="37"/>
      <c r="P11" s="117"/>
    </row>
    <row r="12" spans="1:16" s="36" customFormat="1" ht="20.85" customHeight="1">
      <c r="A12" s="244" t="s">
        <v>36</v>
      </c>
      <c r="B12" s="459" t="str">
        <f>CONCATENATE("SE Assumptions:  ",'Dtl SE_ModuleDoco'!C89,";
BA Assumptions:  ",'Dtl BA_Considerations'!C66,";     
Collaboration_Quality Assumptions:   ",'Dtl Collaboration_Quality'!C39)</f>
        <v>SE Assumptions:  ;
BA Assumptions:  Testing is based on the following scenarios:
     • FFS positive and negative payment statuses
     • CHIP positive and negative payment statuses
     • CHIP FFS denied status
     • MA Managed Care (BH, PH, CHC) positive and negative payment statuses;     
Collaboration_Quality Assumptions:   Meeting Walkthrough: WPR for BDD, TDD, Code, Test Plan, Test Results and Prod Val.</v>
      </c>
      <c r="C12" s="460"/>
      <c r="D12" s="460"/>
      <c r="E12" s="460"/>
      <c r="F12" s="460"/>
      <c r="G12" s="34"/>
      <c r="H12" s="35"/>
      <c r="I12" s="35"/>
      <c r="J12" s="35"/>
      <c r="N12" s="37"/>
      <c r="O12" s="37"/>
      <c r="P12" s="117"/>
    </row>
    <row r="13" spans="1:16" s="36" customFormat="1" ht="15.75">
      <c r="A13" s="39"/>
      <c r="B13" s="461"/>
      <c r="C13" s="462"/>
      <c r="D13" s="462"/>
      <c r="E13" s="462"/>
      <c r="F13" s="462"/>
      <c r="G13" s="34"/>
      <c r="H13" s="35"/>
      <c r="I13" s="35"/>
      <c r="J13" s="35"/>
      <c r="N13" s="37"/>
      <c r="O13" s="37"/>
      <c r="P13" s="117"/>
    </row>
    <row r="14" spans="1:16" s="36" customFormat="1" ht="15.75">
      <c r="A14" s="39"/>
      <c r="B14" s="461"/>
      <c r="C14" s="462"/>
      <c r="D14" s="462"/>
      <c r="E14" s="462"/>
      <c r="F14" s="462"/>
      <c r="G14" s="34"/>
      <c r="H14" s="35"/>
      <c r="I14" s="35"/>
      <c r="J14" s="35"/>
      <c r="N14" s="37"/>
      <c r="O14" s="37"/>
      <c r="P14" s="117"/>
    </row>
    <row r="15" spans="1:16" s="36" customFormat="1" ht="15.75">
      <c r="A15" s="39"/>
      <c r="B15" s="461"/>
      <c r="C15" s="462"/>
      <c r="D15" s="462"/>
      <c r="E15" s="462"/>
      <c r="F15" s="462"/>
      <c r="G15" s="34"/>
      <c r="H15" s="35"/>
      <c r="I15" s="35"/>
      <c r="J15" s="35"/>
      <c r="N15" s="37"/>
      <c r="O15" s="37"/>
      <c r="P15" s="117"/>
    </row>
    <row r="16" spans="1:16" s="36" customFormat="1" ht="15.75">
      <c r="A16" s="39"/>
      <c r="B16" s="461"/>
      <c r="C16" s="462"/>
      <c r="D16" s="462"/>
      <c r="E16" s="462"/>
      <c r="F16" s="462"/>
      <c r="G16" s="34"/>
      <c r="H16" s="35"/>
      <c r="I16" s="35"/>
      <c r="J16" s="35"/>
      <c r="N16" s="37"/>
      <c r="O16" s="37"/>
      <c r="P16" s="117"/>
    </row>
    <row r="17" spans="1:16" s="36" customFormat="1" ht="15.75">
      <c r="A17" s="39"/>
      <c r="B17" s="461"/>
      <c r="C17" s="462"/>
      <c r="D17" s="462"/>
      <c r="E17" s="462"/>
      <c r="F17" s="462"/>
      <c r="G17" s="34"/>
      <c r="H17" s="35"/>
      <c r="I17" s="35"/>
      <c r="J17" s="35"/>
      <c r="N17" s="37"/>
      <c r="O17" s="37"/>
      <c r="P17" s="117"/>
    </row>
    <row r="18" spans="1:16" s="36" customFormat="1" ht="15.75">
      <c r="A18" s="39"/>
      <c r="B18" s="461"/>
      <c r="C18" s="462"/>
      <c r="D18" s="462"/>
      <c r="E18" s="462"/>
      <c r="F18" s="462"/>
      <c r="G18" s="34"/>
      <c r="H18" s="35"/>
      <c r="I18" s="35"/>
      <c r="J18" s="35"/>
      <c r="N18" s="37"/>
      <c r="O18" s="37"/>
      <c r="P18" s="117"/>
    </row>
    <row r="19" spans="1:16" s="36" customFormat="1" ht="28.15" customHeight="1">
      <c r="A19" s="39"/>
      <c r="B19" s="461"/>
      <c r="C19" s="462"/>
      <c r="D19" s="462"/>
      <c r="E19" s="462"/>
      <c r="F19" s="462"/>
      <c r="G19" s="34"/>
      <c r="H19" s="35"/>
      <c r="I19" s="35"/>
      <c r="J19" s="35"/>
      <c r="N19" s="37"/>
      <c r="O19" s="37"/>
      <c r="P19" s="117"/>
    </row>
    <row r="20" spans="1:16" s="36" customFormat="1" ht="15.75">
      <c r="A20" s="39"/>
      <c r="B20" s="461"/>
      <c r="C20" s="462"/>
      <c r="D20" s="462"/>
      <c r="E20" s="462"/>
      <c r="F20" s="462"/>
      <c r="G20" s="34"/>
      <c r="H20" s="35"/>
      <c r="I20" s="35"/>
      <c r="J20" s="35"/>
      <c r="N20" s="37"/>
      <c r="O20" s="37"/>
      <c r="P20" s="117"/>
    </row>
    <row r="21" spans="1:16" s="36" customFormat="1" ht="15.75">
      <c r="A21" s="39"/>
      <c r="B21" s="461"/>
      <c r="C21" s="462"/>
      <c r="D21" s="462"/>
      <c r="E21" s="462"/>
      <c r="F21" s="462"/>
      <c r="G21" s="34"/>
      <c r="H21" s="35"/>
      <c r="I21" s="35"/>
      <c r="J21" s="35"/>
      <c r="N21" s="37"/>
      <c r="O21" s="37"/>
      <c r="P21" s="117"/>
    </row>
    <row r="22" spans="1:16" s="36" customFormat="1" ht="15.75">
      <c r="A22" s="39"/>
      <c r="B22" s="461"/>
      <c r="C22" s="462"/>
      <c r="D22" s="462"/>
      <c r="E22" s="462"/>
      <c r="F22" s="462"/>
      <c r="G22" s="34"/>
      <c r="H22" s="35"/>
      <c r="I22" s="35"/>
      <c r="J22" s="35"/>
      <c r="N22" s="37"/>
      <c r="O22" s="37"/>
      <c r="P22" s="117"/>
    </row>
    <row r="23" spans="1:16" s="36" customFormat="1" ht="15.75">
      <c r="A23" s="39"/>
      <c r="B23" s="463"/>
      <c r="C23" s="464"/>
      <c r="D23" s="464"/>
      <c r="E23" s="464"/>
      <c r="F23" s="464"/>
      <c r="G23" s="34"/>
      <c r="H23" s="35"/>
      <c r="I23" s="35"/>
      <c r="J23" s="35"/>
      <c r="N23" s="37"/>
      <c r="O23" s="37"/>
      <c r="P23" s="117"/>
    </row>
    <row r="24" spans="1:16" s="36" customFormat="1" ht="15.75">
      <c r="A24" s="39"/>
      <c r="B24" s="120"/>
      <c r="C24" s="121"/>
      <c r="D24" s="121"/>
      <c r="E24" s="120"/>
      <c r="F24" s="121"/>
      <c r="G24" s="34"/>
      <c r="H24" s="35"/>
      <c r="I24" s="35"/>
      <c r="J24" s="35"/>
      <c r="N24" s="37"/>
      <c r="O24" s="37"/>
      <c r="P24" s="117"/>
    </row>
    <row r="25" spans="1:16" s="36" customFormat="1" ht="15.75">
      <c r="A25" s="244" t="s">
        <v>107</v>
      </c>
      <c r="B25" s="459" t="str">
        <f>CONCATENATE("SE Assumptions:  ",'Dtl SE_ModuleDoco'!C96,";
BA Assumptions:  ",'Dtl BA_Considerations'!C68,"
Collaboration_Quality Assumptions:  ",'Dtl Collaboration_Quality'!C47)</f>
        <v xml:space="preserve">SE Assumptions:  ;
BA Assumptions:  Row 18 - Additional hours added for financial cycles.
Collaboration_Quality Assumptions:  </v>
      </c>
      <c r="C25" s="460"/>
      <c r="D25" s="460"/>
      <c r="E25" s="460"/>
      <c r="F25" s="460"/>
      <c r="G25" s="34"/>
      <c r="H25" s="35"/>
      <c r="I25" s="35"/>
      <c r="J25" s="35"/>
      <c r="N25" s="37"/>
      <c r="O25" s="37"/>
      <c r="P25" s="117"/>
    </row>
    <row r="26" spans="1:16" s="36" customFormat="1" ht="15.75">
      <c r="A26" s="39"/>
      <c r="B26" s="461"/>
      <c r="C26" s="462"/>
      <c r="D26" s="462"/>
      <c r="E26" s="462"/>
      <c r="F26" s="462"/>
      <c r="G26" s="34"/>
      <c r="H26" s="35"/>
      <c r="I26" s="35"/>
      <c r="J26" s="35"/>
      <c r="N26" s="37"/>
      <c r="O26" s="37"/>
      <c r="P26" s="117"/>
    </row>
    <row r="27" spans="1:16" s="36" customFormat="1" ht="15.75">
      <c r="A27" s="39"/>
      <c r="B27" s="461"/>
      <c r="C27" s="462"/>
      <c r="D27" s="462"/>
      <c r="E27" s="462"/>
      <c r="F27" s="462"/>
      <c r="G27" s="34"/>
      <c r="H27" s="35"/>
      <c r="I27" s="35"/>
      <c r="J27" s="35"/>
      <c r="N27" s="37"/>
      <c r="O27" s="37"/>
      <c r="P27" s="117"/>
    </row>
    <row r="28" spans="1:16" s="36" customFormat="1" ht="15.75">
      <c r="A28" s="39"/>
      <c r="B28" s="461"/>
      <c r="C28" s="462"/>
      <c r="D28" s="462"/>
      <c r="E28" s="462"/>
      <c r="F28" s="462"/>
      <c r="G28" s="34"/>
      <c r="H28" s="35"/>
      <c r="I28" s="35"/>
      <c r="J28" s="35"/>
      <c r="N28" s="37"/>
      <c r="O28" s="37"/>
      <c r="P28" s="117"/>
    </row>
    <row r="29" spans="1:16" s="36" customFormat="1" ht="15.75">
      <c r="A29" s="39"/>
      <c r="B29" s="461"/>
      <c r="C29" s="462"/>
      <c r="D29" s="462"/>
      <c r="E29" s="462"/>
      <c r="F29" s="462"/>
      <c r="G29" s="34"/>
      <c r="H29" s="35"/>
      <c r="I29" s="35"/>
      <c r="J29" s="35"/>
      <c r="N29" s="37"/>
      <c r="O29" s="37"/>
      <c r="P29" s="117"/>
    </row>
    <row r="30" spans="1:16" s="36" customFormat="1" ht="15.75">
      <c r="A30" s="39"/>
      <c r="B30" s="461"/>
      <c r="C30" s="462"/>
      <c r="D30" s="462"/>
      <c r="E30" s="462"/>
      <c r="F30" s="462"/>
      <c r="G30" s="34"/>
      <c r="H30" s="35"/>
      <c r="I30" s="35"/>
      <c r="J30" s="35"/>
      <c r="N30" s="37"/>
      <c r="O30" s="37"/>
      <c r="P30" s="117"/>
    </row>
    <row r="31" spans="1:16" s="36" customFormat="1" ht="15.75">
      <c r="A31" s="39"/>
      <c r="B31" s="461"/>
      <c r="C31" s="462"/>
      <c r="D31" s="462"/>
      <c r="E31" s="462"/>
      <c r="F31" s="462"/>
      <c r="G31" s="34"/>
      <c r="H31" s="35"/>
      <c r="I31" s="35"/>
      <c r="J31" s="35"/>
      <c r="N31" s="37"/>
      <c r="O31" s="37"/>
      <c r="P31" s="117"/>
    </row>
    <row r="32" spans="1:16" s="36" customFormat="1" ht="15">
      <c r="A32" s="122"/>
      <c r="B32" s="461"/>
      <c r="C32" s="462"/>
      <c r="D32" s="462"/>
      <c r="E32" s="462"/>
      <c r="F32" s="462"/>
      <c r="G32" s="34"/>
      <c r="H32" s="35"/>
      <c r="I32" s="35"/>
      <c r="J32" s="35"/>
    </row>
    <row r="33" spans="1:15" s="36" customFormat="1" ht="15">
      <c r="A33" s="122"/>
      <c r="B33" s="461"/>
      <c r="C33" s="462"/>
      <c r="D33" s="462"/>
      <c r="E33" s="462"/>
      <c r="F33" s="462"/>
      <c r="G33" s="34"/>
      <c r="H33" s="35"/>
      <c r="I33" s="35"/>
      <c r="J33" s="35"/>
    </row>
    <row r="34" spans="1:15" s="36" customFormat="1" ht="15.75">
      <c r="A34" s="40"/>
      <c r="B34" s="461"/>
      <c r="C34" s="462"/>
      <c r="D34" s="462"/>
      <c r="E34" s="462"/>
      <c r="F34" s="462"/>
      <c r="G34" s="34"/>
      <c r="H34" s="35"/>
      <c r="I34" s="35"/>
      <c r="J34" s="35"/>
    </row>
    <row r="35" spans="1:15" s="36" customFormat="1" ht="15.75">
      <c r="A35" s="40"/>
      <c r="B35" s="461"/>
      <c r="C35" s="462"/>
      <c r="D35" s="462"/>
      <c r="E35" s="462"/>
      <c r="F35" s="462"/>
      <c r="G35" s="34"/>
      <c r="H35" s="35"/>
      <c r="I35" s="35"/>
      <c r="J35" s="35"/>
    </row>
    <row r="36" spans="1:15" s="36" customFormat="1" ht="15.75">
      <c r="A36" s="40"/>
      <c r="B36" s="463"/>
      <c r="C36" s="464"/>
      <c r="D36" s="464"/>
      <c r="E36" s="464"/>
      <c r="F36" s="464"/>
      <c r="G36" s="34"/>
      <c r="H36" s="35"/>
      <c r="I36" s="35"/>
      <c r="J36" s="35"/>
    </row>
    <row r="37" spans="1:15" s="36" customFormat="1" ht="15.75">
      <c r="A37" s="40"/>
      <c r="B37" s="123"/>
      <c r="C37" s="121"/>
      <c r="D37" s="121"/>
      <c r="E37" s="121"/>
      <c r="F37" s="121"/>
      <c r="G37" s="34"/>
      <c r="H37" s="35"/>
      <c r="I37" s="35"/>
      <c r="J37" s="35"/>
    </row>
    <row r="38" spans="1:15" s="36" customFormat="1" ht="15.75">
      <c r="A38" s="244" t="s">
        <v>47</v>
      </c>
      <c r="B38" s="458" t="str">
        <f>'Dtl SE_ModuleDoco'!B6</f>
        <v>Victor Jordan</v>
      </c>
      <c r="C38" s="458"/>
      <c r="D38" s="458"/>
      <c r="E38" s="458"/>
      <c r="F38" s="121"/>
      <c r="G38" s="34"/>
      <c r="H38" s="35"/>
      <c r="I38" s="35"/>
      <c r="J38" s="35"/>
    </row>
    <row r="39" spans="1:15" s="36" customFormat="1" ht="15.75">
      <c r="A39" s="244" t="s">
        <v>31</v>
      </c>
      <c r="B39" s="458" t="str">
        <f>'Dtl BA_Considerations'!B6</f>
        <v>Donna Anderson, Tracey Elias</v>
      </c>
      <c r="C39" s="458"/>
      <c r="D39" s="458"/>
      <c r="E39" s="458"/>
      <c r="F39" s="121"/>
      <c r="G39" s="34"/>
      <c r="H39" s="35"/>
      <c r="I39" s="35"/>
      <c r="J39" s="35"/>
    </row>
    <row r="40" spans="1:15" s="36" customFormat="1" ht="15.75">
      <c r="A40" s="244" t="s">
        <v>127</v>
      </c>
      <c r="B40" s="458" t="str">
        <f>'Dtl Collaboration_Quality'!B7</f>
        <v>Victor Jordan, Tracey Elias, Mario Castillon, Patrick Mulreany, Donna Anderson</v>
      </c>
      <c r="C40" s="458"/>
      <c r="D40" s="458"/>
      <c r="E40" s="458"/>
      <c r="F40" s="112"/>
      <c r="G40" s="34"/>
      <c r="H40" s="35"/>
      <c r="I40" s="35"/>
      <c r="J40" s="35"/>
    </row>
    <row r="41" spans="1:15" s="36" customFormat="1" ht="15">
      <c r="A41" s="41"/>
      <c r="B41" s="124"/>
      <c r="C41" s="112"/>
      <c r="D41" s="112"/>
      <c r="E41" s="112"/>
      <c r="F41" s="112"/>
      <c r="G41" s="34"/>
      <c r="H41" s="35"/>
      <c r="I41" s="35"/>
      <c r="J41" s="35"/>
    </row>
    <row r="42" spans="1:15" s="36" customFormat="1" ht="15">
      <c r="A42" s="41"/>
      <c r="B42" s="124"/>
      <c r="C42" s="112"/>
      <c r="D42" s="112"/>
      <c r="E42" s="112"/>
      <c r="F42" s="112"/>
      <c r="G42" s="34"/>
      <c r="H42" s="35"/>
      <c r="I42" s="35"/>
      <c r="J42" s="35"/>
    </row>
    <row r="43" spans="1:15" s="125" customFormat="1" ht="24.75" customHeight="1">
      <c r="A43" s="217" t="s">
        <v>119</v>
      </c>
      <c r="B43" s="218"/>
      <c r="C43" s="218"/>
      <c r="D43" s="218"/>
      <c r="E43" s="218"/>
      <c r="F43" s="112"/>
      <c r="G43" s="113"/>
      <c r="H43" s="112"/>
      <c r="I43" s="112"/>
    </row>
    <row r="44" spans="1:15" s="126" customFormat="1" ht="39.4" customHeight="1">
      <c r="A44" s="42" t="s">
        <v>96</v>
      </c>
      <c r="B44" s="43" t="s">
        <v>77</v>
      </c>
      <c r="C44" s="43" t="s">
        <v>79</v>
      </c>
      <c r="D44" s="43" t="s">
        <v>93</v>
      </c>
      <c r="E44" s="43" t="s">
        <v>81</v>
      </c>
      <c r="F44" s="112"/>
      <c r="G44" s="113"/>
      <c r="H44" s="112"/>
      <c r="I44" s="112"/>
      <c r="L44" s="127"/>
    </row>
    <row r="45" spans="1:15" s="128" customFormat="1" ht="18.75" customHeight="1">
      <c r="A45" s="245"/>
      <c r="B45" s="246">
        <f>SUM(B47,B49,B51,B53,B55,B57,B59,B61,B63,B65,B67,B69)</f>
        <v>9.5</v>
      </c>
      <c r="C45" s="246">
        <f>SUM(C47,C49,C51,C53,C55,C57,C59,C61,C63,C65,C67,C69)</f>
        <v>9.5</v>
      </c>
      <c r="D45" s="246">
        <f>SUM(D47,D49,D51,D53,D55,D57,D59,D61)</f>
        <v>0</v>
      </c>
      <c r="E45" s="246">
        <f>MROUND(SUM(E47,E49,E51,E53,E55,E57,E59,E61,E63,E65,E67,E69),0.25)</f>
        <v>14.5</v>
      </c>
      <c r="F45" s="112"/>
      <c r="G45" s="113"/>
      <c r="H45" s="112"/>
      <c r="I45" s="112"/>
      <c r="L45" s="129"/>
    </row>
    <row r="46" spans="1:15" s="36" customFormat="1" ht="5.25" customHeight="1" outlineLevel="1">
      <c r="A46" s="130"/>
      <c r="B46" s="130"/>
      <c r="C46" s="130"/>
      <c r="D46" s="130"/>
      <c r="E46" s="130"/>
      <c r="F46" s="131"/>
      <c r="G46" s="132"/>
      <c r="H46" s="133"/>
      <c r="I46" s="133"/>
      <c r="J46" s="35"/>
      <c r="K46" s="53"/>
      <c r="L46" s="53"/>
      <c r="M46" s="53"/>
      <c r="N46" s="53"/>
      <c r="O46" s="53"/>
    </row>
    <row r="47" spans="1:15" s="134" customFormat="1" ht="18" customHeight="1" outlineLevel="1">
      <c r="A47" s="245" t="s">
        <v>200</v>
      </c>
      <c r="B47" s="246">
        <f>'Dtl SE_ModuleDoco'!G12</f>
        <v>0</v>
      </c>
      <c r="C47" s="246">
        <f>'Dtl SE_ModuleDoco'!H12</f>
        <v>0</v>
      </c>
      <c r="D47" s="246">
        <f>'Dtl SE_ModuleDoco'!I12</f>
        <v>0</v>
      </c>
      <c r="E47" s="246">
        <f>'Dtl SE_ModuleDoco'!J12</f>
        <v>0</v>
      </c>
      <c r="F47" s="112"/>
      <c r="G47" s="113"/>
      <c r="H47" s="112"/>
      <c r="I47" s="112"/>
      <c r="L47" s="135"/>
    </row>
    <row r="48" spans="1:15" s="36" customFormat="1" ht="5.25" customHeight="1" outlineLevel="1">
      <c r="A48" s="130"/>
      <c r="B48" s="130"/>
      <c r="C48" s="130"/>
      <c r="D48" s="130"/>
      <c r="E48" s="130"/>
      <c r="F48" s="131"/>
      <c r="G48" s="132"/>
      <c r="H48" s="133"/>
      <c r="I48" s="133"/>
      <c r="J48" s="35"/>
      <c r="K48" s="53"/>
      <c r="L48" s="53"/>
      <c r="M48" s="53"/>
      <c r="N48" s="53"/>
      <c r="O48" s="53"/>
    </row>
    <row r="49" spans="1:15" s="128" customFormat="1" ht="18" customHeight="1" outlineLevel="1">
      <c r="A49" s="245" t="s">
        <v>46</v>
      </c>
      <c r="B49" s="246">
        <f>'Dtl SE_ModuleDoco'!G26</f>
        <v>0</v>
      </c>
      <c r="C49" s="246">
        <f>'Dtl SE_ModuleDoco'!H26</f>
        <v>0</v>
      </c>
      <c r="D49" s="246">
        <f>'Dtl SE_ModuleDoco'!I26</f>
        <v>0</v>
      </c>
      <c r="E49" s="246">
        <f>'Dtl SE_ModuleDoco'!J26</f>
        <v>0</v>
      </c>
      <c r="F49" s="112"/>
      <c r="G49" s="113"/>
      <c r="H49" s="112"/>
      <c r="I49" s="112"/>
      <c r="L49" s="129"/>
    </row>
    <row r="50" spans="1:15" s="36" customFormat="1" ht="5.25" customHeight="1" outlineLevel="1">
      <c r="A50" s="130"/>
      <c r="B50" s="130"/>
      <c r="C50" s="130"/>
      <c r="D50" s="130"/>
      <c r="E50" s="130"/>
      <c r="F50" s="131"/>
      <c r="G50" s="132"/>
      <c r="H50" s="133"/>
      <c r="I50" s="133"/>
      <c r="J50" s="35"/>
      <c r="K50" s="53"/>
      <c r="L50" s="53"/>
      <c r="M50" s="53"/>
      <c r="N50" s="53"/>
      <c r="O50" s="53"/>
    </row>
    <row r="51" spans="1:15" s="128" customFormat="1" ht="18" customHeight="1" outlineLevel="1">
      <c r="A51" s="245" t="s">
        <v>153</v>
      </c>
      <c r="B51" s="246">
        <f>'Dtl SE_ModuleDoco'!G35</f>
        <v>0</v>
      </c>
      <c r="C51" s="246">
        <f>'Dtl SE_ModuleDoco'!H35</f>
        <v>0</v>
      </c>
      <c r="D51" s="246">
        <f>'Dtl SE_ModuleDoco'!I35</f>
        <v>0</v>
      </c>
      <c r="E51" s="246">
        <f>'Dtl SE_ModuleDoco'!J35</f>
        <v>0</v>
      </c>
      <c r="F51" s="112"/>
      <c r="G51" s="113"/>
      <c r="H51" s="112"/>
      <c r="I51" s="112"/>
      <c r="L51" s="129"/>
    </row>
    <row r="52" spans="1:15" s="36" customFormat="1" ht="5.25" customHeight="1" outlineLevel="1">
      <c r="A52" s="130"/>
      <c r="B52" s="130"/>
      <c r="C52" s="130"/>
      <c r="D52" s="130"/>
      <c r="E52" s="130"/>
      <c r="F52" s="131"/>
      <c r="G52" s="132"/>
      <c r="H52" s="133"/>
      <c r="I52" s="133"/>
      <c r="J52" s="35"/>
      <c r="K52" s="53"/>
      <c r="L52" s="53"/>
      <c r="M52" s="53"/>
      <c r="N52" s="53"/>
      <c r="O52" s="53"/>
    </row>
    <row r="53" spans="1:15" s="128" customFormat="1" ht="18" customHeight="1" outlineLevel="1">
      <c r="A53" s="245" t="s">
        <v>224</v>
      </c>
      <c r="B53" s="246">
        <f>'Dtl SE_ModuleDoco'!G40</f>
        <v>9.5</v>
      </c>
      <c r="C53" s="246">
        <f>'Dtl SE_ModuleDoco'!H40</f>
        <v>9.5</v>
      </c>
      <c r="D53" s="246">
        <f>'Dtl SE_ModuleDoco'!I40</f>
        <v>0</v>
      </c>
      <c r="E53" s="246">
        <f>'Dtl SE_ModuleDoco'!J40</f>
        <v>9.5</v>
      </c>
      <c r="F53" s="112"/>
      <c r="G53" s="113"/>
      <c r="H53" s="112"/>
      <c r="I53" s="112"/>
      <c r="L53" s="129"/>
    </row>
    <row r="54" spans="1:15" s="36" customFormat="1" ht="5.25" customHeight="1" outlineLevel="1">
      <c r="A54" s="130"/>
      <c r="B54" s="130"/>
      <c r="C54" s="130"/>
      <c r="D54" s="130"/>
      <c r="E54" s="130"/>
      <c r="F54" s="131"/>
      <c r="G54" s="132"/>
      <c r="H54" s="133"/>
      <c r="I54" s="133"/>
      <c r="J54" s="35"/>
      <c r="K54" s="53"/>
      <c r="L54" s="53"/>
      <c r="M54" s="53"/>
      <c r="N54" s="53"/>
      <c r="O54" s="53"/>
    </row>
    <row r="55" spans="1:15" s="128" customFormat="1" ht="18" customHeight="1" outlineLevel="1">
      <c r="A55" s="245" t="s">
        <v>218</v>
      </c>
      <c r="B55" s="246">
        <f>'Dtl SE_ModuleDoco'!G45</f>
        <v>0</v>
      </c>
      <c r="C55" s="246">
        <f>'Dtl SE_ModuleDoco'!H45</f>
        <v>0</v>
      </c>
      <c r="D55" s="246">
        <f>'Dtl SE_ModuleDoco'!I45</f>
        <v>0</v>
      </c>
      <c r="E55" s="246">
        <f>'Dtl SE_ModuleDoco'!J45</f>
        <v>0</v>
      </c>
      <c r="F55" s="112"/>
      <c r="G55" s="113"/>
      <c r="H55" s="112"/>
      <c r="I55" s="112"/>
      <c r="L55" s="129"/>
    </row>
    <row r="56" spans="1:15" s="36" customFormat="1" ht="5.25" customHeight="1" outlineLevel="1">
      <c r="A56" s="130"/>
      <c r="B56" s="130"/>
      <c r="C56" s="130"/>
      <c r="D56" s="130"/>
      <c r="E56" s="130"/>
      <c r="F56" s="131"/>
      <c r="G56" s="132"/>
      <c r="H56" s="133"/>
      <c r="I56" s="133"/>
      <c r="J56" s="35"/>
      <c r="K56" s="53"/>
      <c r="L56" s="53"/>
      <c r="M56" s="53"/>
      <c r="N56" s="53"/>
      <c r="O56" s="53"/>
    </row>
    <row r="57" spans="1:15" s="128" customFormat="1" ht="18" customHeight="1" outlineLevel="1">
      <c r="A57" s="245" t="s">
        <v>219</v>
      </c>
      <c r="B57" s="246">
        <f>'Dtl SE_ModuleDoco'!G50</f>
        <v>0</v>
      </c>
      <c r="C57" s="246">
        <f>'Dtl SE_ModuleDoco'!H50</f>
        <v>0</v>
      </c>
      <c r="D57" s="246">
        <f>'Dtl SE_ModuleDoco'!I50</f>
        <v>0</v>
      </c>
      <c r="E57" s="246">
        <f>'Dtl SE_ModuleDoco'!J50</f>
        <v>0</v>
      </c>
      <c r="F57" s="112"/>
      <c r="G57" s="113"/>
      <c r="H57" s="112"/>
      <c r="I57" s="112"/>
      <c r="L57" s="129"/>
    </row>
    <row r="58" spans="1:15" s="36" customFormat="1" ht="5.25" customHeight="1" outlineLevel="1">
      <c r="A58" s="130"/>
      <c r="B58" s="130"/>
      <c r="C58" s="130"/>
      <c r="D58" s="130"/>
      <c r="E58" s="130"/>
      <c r="F58" s="131"/>
      <c r="G58" s="132"/>
      <c r="H58" s="133"/>
      <c r="I58" s="133"/>
      <c r="J58" s="35"/>
      <c r="K58" s="53"/>
      <c r="L58" s="53"/>
      <c r="M58" s="53"/>
      <c r="N58" s="53"/>
      <c r="O58" s="53"/>
    </row>
    <row r="59" spans="1:15" s="128" customFormat="1" ht="18" customHeight="1" outlineLevel="1">
      <c r="A59" s="245" t="s">
        <v>220</v>
      </c>
      <c r="B59" s="246">
        <f>'Dtl SE_ModuleDoco'!G56</f>
        <v>0</v>
      </c>
      <c r="C59" s="246">
        <f>'Dtl SE_ModuleDoco'!H56</f>
        <v>0</v>
      </c>
      <c r="D59" s="246">
        <f>'Dtl SE_ModuleDoco'!I56</f>
        <v>0</v>
      </c>
      <c r="E59" s="246">
        <f>'Dtl SE_ModuleDoco'!J56</f>
        <v>0</v>
      </c>
      <c r="F59" s="112"/>
      <c r="G59" s="113"/>
      <c r="H59" s="112"/>
      <c r="I59" s="112"/>
      <c r="L59" s="129"/>
    </row>
    <row r="60" spans="1:15" s="36" customFormat="1" ht="5.25" customHeight="1" outlineLevel="1">
      <c r="A60" s="89"/>
      <c r="B60" s="90"/>
      <c r="C60" s="90"/>
      <c r="D60" s="90"/>
      <c r="E60" s="90"/>
      <c r="F60" s="131"/>
      <c r="G60" s="132"/>
      <c r="H60" s="133"/>
      <c r="I60" s="133"/>
      <c r="J60" s="35"/>
      <c r="K60" s="53"/>
      <c r="L60" s="53"/>
      <c r="M60" s="53"/>
      <c r="N60" s="53"/>
      <c r="O60" s="53"/>
    </row>
    <row r="61" spans="1:15" s="128" customFormat="1" ht="18" customHeight="1" outlineLevel="1">
      <c r="A61" s="245" t="s">
        <v>179</v>
      </c>
      <c r="B61" s="246">
        <f>'Dtl SE_ModuleDoco'!G63</f>
        <v>0</v>
      </c>
      <c r="C61" s="246">
        <f>'Dtl SE_ModuleDoco'!H63</f>
        <v>0</v>
      </c>
      <c r="D61" s="246">
        <f>'Dtl SE_ModuleDoco'!I63</f>
        <v>0</v>
      </c>
      <c r="E61" s="246">
        <f>'Dtl SE_ModuleDoco'!J63</f>
        <v>0</v>
      </c>
      <c r="F61" s="112"/>
      <c r="G61" s="113"/>
      <c r="H61" s="112"/>
      <c r="I61" s="112"/>
      <c r="L61" s="129"/>
    </row>
    <row r="62" spans="1:15" s="128" customFormat="1" ht="5.25" customHeight="1" outlineLevel="1">
      <c r="A62" s="89"/>
      <c r="B62" s="90"/>
      <c r="C62" s="90"/>
      <c r="D62" s="90"/>
      <c r="E62" s="90"/>
      <c r="F62" s="112"/>
      <c r="G62" s="113"/>
      <c r="H62" s="112"/>
      <c r="I62" s="112"/>
      <c r="L62" s="129"/>
    </row>
    <row r="63" spans="1:15" s="128" customFormat="1" ht="14.25" customHeight="1" outlineLevel="1">
      <c r="A63" s="245" t="s">
        <v>157</v>
      </c>
      <c r="B63" s="246">
        <f>'Dtl SE_ModuleDoco'!G68</f>
        <v>0</v>
      </c>
      <c r="C63" s="246">
        <f>'Dtl SE_ModuleDoco'!H68</f>
        <v>0</v>
      </c>
      <c r="D63" s="246">
        <f>'Dtl SE_ModuleDoco'!I68</f>
        <v>0</v>
      </c>
      <c r="E63" s="246">
        <f>'Dtl SE_ModuleDoco'!J68</f>
        <v>0</v>
      </c>
      <c r="F63" s="112"/>
      <c r="G63" s="113"/>
      <c r="H63" s="112"/>
      <c r="I63" s="112"/>
      <c r="L63" s="129"/>
    </row>
    <row r="64" spans="1:15" s="128" customFormat="1" ht="6.6" customHeight="1" outlineLevel="1">
      <c r="A64" s="89"/>
      <c r="B64" s="90"/>
      <c r="C64" s="90"/>
      <c r="D64" s="90"/>
      <c r="E64" s="90"/>
      <c r="F64" s="112"/>
      <c r="G64" s="113"/>
      <c r="H64" s="112"/>
      <c r="I64" s="112"/>
      <c r="L64" s="129"/>
    </row>
    <row r="65" spans="1:15" s="128" customFormat="1" ht="15" customHeight="1" outlineLevel="1">
      <c r="A65" s="245" t="s">
        <v>229</v>
      </c>
      <c r="B65" s="246">
        <f>'Dtl SE_ModuleDoco'!G73</f>
        <v>0</v>
      </c>
      <c r="C65" s="246">
        <f>'Dtl SE_ModuleDoco'!H73</f>
        <v>0</v>
      </c>
      <c r="D65" s="246">
        <f>'Dtl SE_ModuleDoco'!I73</f>
        <v>0</v>
      </c>
      <c r="E65" s="246">
        <f>'Dtl SE_ModuleDoco'!J73</f>
        <v>0</v>
      </c>
      <c r="F65" s="112"/>
      <c r="G65" s="113"/>
      <c r="H65" s="112"/>
      <c r="I65" s="112"/>
      <c r="L65" s="129"/>
    </row>
    <row r="66" spans="1:15" s="128" customFormat="1" ht="5.25" customHeight="1" outlineLevel="1">
      <c r="A66" s="89"/>
      <c r="B66" s="90"/>
      <c r="C66" s="90"/>
      <c r="D66" s="90"/>
      <c r="E66" s="90"/>
      <c r="F66" s="112"/>
      <c r="G66" s="113"/>
      <c r="H66" s="112"/>
      <c r="I66" s="112"/>
      <c r="L66" s="129"/>
    </row>
    <row r="67" spans="1:15" s="128" customFormat="1" ht="15" customHeight="1" outlineLevel="1">
      <c r="A67" s="245" t="s">
        <v>161</v>
      </c>
      <c r="B67" s="246">
        <f>'Dtl SE_ModuleDoco'!G78</f>
        <v>0</v>
      </c>
      <c r="C67" s="246">
        <f>'Dtl SE_ModuleDoco'!H78</f>
        <v>0</v>
      </c>
      <c r="D67" s="246">
        <f>'Dtl SE_ModuleDoco'!I78</f>
        <v>0</v>
      </c>
      <c r="E67" s="246">
        <f>'Dtl SE_ModuleDoco'!J78</f>
        <v>0</v>
      </c>
      <c r="F67" s="112"/>
      <c r="G67" s="113"/>
      <c r="H67" s="112"/>
      <c r="I67" s="112"/>
      <c r="L67" s="129"/>
    </row>
    <row r="68" spans="1:15" s="128" customFormat="1" ht="3.6" customHeight="1" outlineLevel="1">
      <c r="A68" s="136"/>
      <c r="B68" s="44"/>
      <c r="C68" s="44"/>
      <c r="D68" s="44"/>
      <c r="E68" s="44"/>
      <c r="F68" s="112"/>
      <c r="G68" s="113"/>
      <c r="H68" s="112"/>
      <c r="I68" s="112"/>
      <c r="L68" s="129"/>
    </row>
    <row r="69" spans="1:15" s="128" customFormat="1" ht="31.5" outlineLevel="1" collapsed="1">
      <c r="A69" s="405" t="s">
        <v>382</v>
      </c>
      <c r="B69" s="406"/>
      <c r="C69" s="406"/>
      <c r="D69" s="406"/>
      <c r="E69" s="406">
        <f>'Dtl SE_ModuleDoco'!I85</f>
        <v>5</v>
      </c>
      <c r="F69" s="112"/>
      <c r="G69" s="113"/>
      <c r="H69" s="112"/>
      <c r="I69" s="112"/>
      <c r="L69" s="129"/>
    </row>
    <row r="70" spans="1:15" s="128" customFormat="1" ht="15" customHeight="1">
      <c r="A70" s="136"/>
      <c r="B70" s="44"/>
      <c r="C70" s="44"/>
      <c r="D70" s="44"/>
      <c r="E70" s="44"/>
      <c r="F70" s="112"/>
      <c r="G70" s="113"/>
      <c r="H70" s="112"/>
      <c r="I70" s="112"/>
      <c r="L70" s="129"/>
    </row>
    <row r="71" spans="1:15" s="128" customFormat="1" ht="15" customHeight="1">
      <c r="A71" s="136"/>
      <c r="B71" s="44"/>
      <c r="C71" s="44"/>
      <c r="D71" s="44"/>
      <c r="E71" s="44"/>
      <c r="F71" s="112"/>
      <c r="G71" s="113"/>
      <c r="H71" s="112"/>
      <c r="I71" s="112"/>
      <c r="L71" s="129"/>
    </row>
    <row r="72" spans="1:15" s="137" customFormat="1" ht="23.25" customHeight="1">
      <c r="A72" s="208" t="s">
        <v>120</v>
      </c>
      <c r="B72" s="209"/>
      <c r="C72" s="209"/>
      <c r="D72" s="209"/>
      <c r="E72" s="209"/>
      <c r="G72" s="138"/>
    </row>
    <row r="73" spans="1:15" s="125" customFormat="1" ht="9" customHeight="1">
      <c r="A73" s="139" t="s">
        <v>92</v>
      </c>
      <c r="G73" s="140"/>
    </row>
    <row r="74" spans="1:15" ht="33.75" customHeight="1">
      <c r="A74" s="42" t="s">
        <v>96</v>
      </c>
      <c r="B74" s="43" t="s">
        <v>77</v>
      </c>
      <c r="C74" s="43" t="s">
        <v>79</v>
      </c>
      <c r="D74" s="43" t="s">
        <v>93</v>
      </c>
      <c r="E74" s="43" t="s">
        <v>81</v>
      </c>
    </row>
    <row r="75" spans="1:15" ht="15.75">
      <c r="A75" s="245"/>
      <c r="B75" s="246">
        <f>SUM(E78,B80,B85,B90,B96,B98,E113)</f>
        <v>60</v>
      </c>
      <c r="C75" s="246">
        <f>SUM(E78,C80,C85,C90,C96,C98,E113)</f>
        <v>70</v>
      </c>
      <c r="D75" s="246">
        <f>SUM(D78,D80,D85,D90,D96,D98)</f>
        <v>0</v>
      </c>
      <c r="E75" s="246">
        <f>SUM(E78,E80,E85,E90,E96,E98,E113)</f>
        <v>484.75</v>
      </c>
    </row>
    <row r="76" spans="1:15" ht="6" customHeight="1" outlineLevel="1">
      <c r="A76" s="130"/>
      <c r="B76" s="130"/>
      <c r="C76" s="130"/>
      <c r="D76" s="130"/>
      <c r="E76" s="130"/>
    </row>
    <row r="77" spans="1:15" s="36" customFormat="1" ht="8.4499999999999993" customHeight="1" outlineLevel="1">
      <c r="A77" s="247"/>
      <c r="B77" s="248"/>
      <c r="C77" s="248"/>
      <c r="D77" s="248"/>
      <c r="E77" s="248"/>
      <c r="F77" s="131"/>
      <c r="G77" s="132"/>
      <c r="H77" s="133"/>
      <c r="I77" s="133"/>
      <c r="J77" s="35"/>
      <c r="K77" s="53"/>
      <c r="L77" s="53"/>
      <c r="M77" s="53"/>
      <c r="N77" s="53"/>
      <c r="O77" s="53"/>
    </row>
    <row r="78" spans="1:15" ht="15.75" outlineLevel="1">
      <c r="A78" s="245" t="s">
        <v>262</v>
      </c>
      <c r="B78" s="246"/>
      <c r="C78" s="246"/>
      <c r="D78" s="246"/>
      <c r="E78" s="246">
        <f>'Dtl BA_Considerations'!C11</f>
        <v>0</v>
      </c>
      <c r="H78" s="141"/>
    </row>
    <row r="79" spans="1:15" s="36" customFormat="1" ht="5.25" customHeight="1" outlineLevel="1">
      <c r="A79" s="130"/>
      <c r="B79" s="130"/>
      <c r="C79" s="130"/>
      <c r="D79" s="130"/>
      <c r="E79" s="130"/>
      <c r="F79" s="131"/>
      <c r="G79" s="132"/>
      <c r="H79" s="133"/>
      <c r="I79" s="133"/>
      <c r="J79" s="35"/>
      <c r="K79" s="53"/>
      <c r="L79" s="53"/>
      <c r="M79" s="53"/>
      <c r="N79" s="53"/>
      <c r="O79" s="53"/>
    </row>
    <row r="80" spans="1:15" ht="15.75" outlineLevel="1">
      <c r="A80" s="245" t="s">
        <v>263</v>
      </c>
      <c r="B80" s="246">
        <f>SUM(B82:B83)</f>
        <v>0</v>
      </c>
      <c r="C80" s="246">
        <f>SUM(C82:C83)</f>
        <v>0</v>
      </c>
      <c r="D80" s="246">
        <f>SUM(D82:D83)</f>
        <v>0</v>
      </c>
      <c r="E80" s="246">
        <f>MROUND(SUM(E81:E83),0.25)</f>
        <v>132.5</v>
      </c>
    </row>
    <row r="81" spans="1:15" ht="14.25" outlineLevel="2">
      <c r="A81" s="136" t="s">
        <v>67</v>
      </c>
      <c r="B81" s="44">
        <f>'Dtl BA_Considerations'!H15+'Dtl BA_Considerations'!H16</f>
        <v>106</v>
      </c>
      <c r="C81" s="44">
        <f>'Dtl BA_Considerations'!I15+'Dtl BA_Considerations'!I16</f>
        <v>132.5</v>
      </c>
      <c r="D81" s="44">
        <f>'Dtl BA_Considerations'!J15+'Dtl BA_Considerations'!J16</f>
        <v>0</v>
      </c>
      <c r="E81" s="44">
        <f>'Dtl BA_Considerations'!K15+'Dtl BA_Considerations'!K16</f>
        <v>132.5</v>
      </c>
    </row>
    <row r="82" spans="1:15" ht="14.25" outlineLevel="2">
      <c r="A82" s="136" t="s">
        <v>116</v>
      </c>
      <c r="B82" s="44">
        <f>'Dtl BA_Considerations'!H23+'Dtl BA_Considerations'!H24</f>
        <v>0</v>
      </c>
      <c r="C82" s="44">
        <f>'Dtl BA_Considerations'!I23+'Dtl BA_Considerations'!I24</f>
        <v>0</v>
      </c>
      <c r="D82" s="44">
        <f>'Dtl BA_Considerations'!J23+'Dtl BA_Considerations'!J24</f>
        <v>0</v>
      </c>
      <c r="E82" s="44">
        <f>'Dtl BA_Considerations'!K23+'Dtl BA_Considerations'!K24</f>
        <v>0</v>
      </c>
    </row>
    <row r="83" spans="1:15" ht="14.25" outlineLevel="2">
      <c r="A83" s="136" t="s">
        <v>69</v>
      </c>
      <c r="B83" s="44">
        <f>'Dtl BA_Considerations'!H31+'Dtl BA_Considerations'!H32</f>
        <v>0</v>
      </c>
      <c r="C83" s="44">
        <f>'Dtl BA_Considerations'!I31+'Dtl BA_Considerations'!I32</f>
        <v>0</v>
      </c>
      <c r="D83" s="44">
        <f>'Dtl BA_Considerations'!J31+'Dtl BA_Considerations'!J32</f>
        <v>0</v>
      </c>
      <c r="E83" s="44">
        <f>'Dtl BA_Considerations'!K31+'Dtl BA_Considerations'!K32</f>
        <v>0</v>
      </c>
    </row>
    <row r="84" spans="1:15" s="36" customFormat="1" ht="5.25" customHeight="1" outlineLevel="1">
      <c r="A84" s="130"/>
      <c r="B84" s="130"/>
      <c r="C84" s="130"/>
      <c r="D84" s="130"/>
      <c r="E84" s="130"/>
      <c r="F84" s="131"/>
      <c r="G84" s="132"/>
      <c r="H84" s="133"/>
      <c r="I84" s="133"/>
      <c r="J84" s="35"/>
      <c r="K84" s="53"/>
      <c r="L84" s="53"/>
      <c r="M84" s="53"/>
      <c r="N84" s="53"/>
      <c r="O84" s="53"/>
    </row>
    <row r="85" spans="1:15" ht="15.75" outlineLevel="1">
      <c r="A85" s="245" t="s">
        <v>97</v>
      </c>
      <c r="B85" s="246">
        <f>SUM(B87:B88)</f>
        <v>0</v>
      </c>
      <c r="C85" s="246">
        <f>SUM(C87:C88)</f>
        <v>0</v>
      </c>
      <c r="D85" s="246">
        <f>SUM(D87:D88)</f>
        <v>0</v>
      </c>
      <c r="E85" s="246">
        <f>MROUND(SUM(E86:E88),0.25)</f>
        <v>46.25</v>
      </c>
    </row>
    <row r="86" spans="1:15" ht="14.25" outlineLevel="2">
      <c r="A86" s="136" t="s">
        <v>67</v>
      </c>
      <c r="B86" s="44">
        <f>'Dtl BA_Considerations'!H18</f>
        <v>25</v>
      </c>
      <c r="C86" s="44">
        <f>'Dtl BA_Considerations'!I18</f>
        <v>31.25</v>
      </c>
      <c r="D86" s="44">
        <f>'Dtl BA_Considerations'!J18</f>
        <v>15</v>
      </c>
      <c r="E86" s="44">
        <f>'Dtl BA_Considerations'!K18</f>
        <v>46.25</v>
      </c>
    </row>
    <row r="87" spans="1:15" ht="14.25" outlineLevel="2">
      <c r="A87" s="136" t="s">
        <v>116</v>
      </c>
      <c r="B87" s="44">
        <f>'Dtl BA_Considerations'!H26</f>
        <v>0</v>
      </c>
      <c r="C87" s="44">
        <f>'Dtl BA_Considerations'!I26</f>
        <v>0</v>
      </c>
      <c r="D87" s="44">
        <f>'Dtl BA_Considerations'!J26</f>
        <v>0</v>
      </c>
      <c r="E87" s="44">
        <f>'Dtl BA_Considerations'!K26</f>
        <v>0</v>
      </c>
    </row>
    <row r="88" spans="1:15" ht="14.25" outlineLevel="2">
      <c r="A88" s="136" t="s">
        <v>69</v>
      </c>
      <c r="B88" s="44">
        <f>'Dtl BA_Considerations'!H34</f>
        <v>0</v>
      </c>
      <c r="C88" s="44">
        <f>'Dtl BA_Considerations'!I34</f>
        <v>0</v>
      </c>
      <c r="D88" s="44">
        <f>'Dtl BA_Considerations'!J34</f>
        <v>0</v>
      </c>
      <c r="E88" s="44">
        <f>'Dtl BA_Considerations'!K34</f>
        <v>0</v>
      </c>
    </row>
    <row r="89" spans="1:15" s="36" customFormat="1" ht="5.25" customHeight="1" outlineLevel="1">
      <c r="A89" s="130"/>
      <c r="B89" s="130"/>
      <c r="C89" s="130"/>
      <c r="D89" s="130"/>
      <c r="E89" s="130"/>
      <c r="F89" s="131"/>
      <c r="G89" s="132"/>
      <c r="H89" s="133"/>
      <c r="I89" s="133"/>
      <c r="J89" s="35"/>
      <c r="K89" s="53"/>
      <c r="L89" s="53"/>
      <c r="M89" s="53"/>
      <c r="N89" s="53"/>
      <c r="O89" s="53"/>
    </row>
    <row r="90" spans="1:15" ht="15.75" outlineLevel="1">
      <c r="A90" s="245" t="s">
        <v>98</v>
      </c>
      <c r="B90" s="246">
        <f>SUM(B92:B93)</f>
        <v>0</v>
      </c>
      <c r="C90" s="246">
        <f>SUM(C92:C93)</f>
        <v>0</v>
      </c>
      <c r="D90" s="246">
        <f>SUM(D92:D93)</f>
        <v>0</v>
      </c>
      <c r="E90" s="246">
        <f>MROUND(SUM(E91:E93),0.25)</f>
        <v>236</v>
      </c>
    </row>
    <row r="91" spans="1:15" ht="14.25" outlineLevel="2">
      <c r="A91" s="136" t="s">
        <v>67</v>
      </c>
      <c r="B91" s="44">
        <f>'Dtl BA_Considerations'!H19+'Dtl BA_Considerations'!H20+'Dtl BA_Considerations'!H21</f>
        <v>188.75</v>
      </c>
      <c r="C91" s="44">
        <f>'Dtl BA_Considerations'!I19+'Dtl BA_Considerations'!I20+'Dtl BA_Considerations'!I21</f>
        <v>235.9375</v>
      </c>
      <c r="D91" s="44">
        <f>'Dtl BA_Considerations'!J19+'Dtl BA_Considerations'!J20+'Dtl BA_Considerations'!J21</f>
        <v>0</v>
      </c>
      <c r="E91" s="44">
        <f>'Dtl BA_Considerations'!K19+'Dtl BA_Considerations'!K20+'Dtl BA_Considerations'!K21</f>
        <v>235.9375</v>
      </c>
    </row>
    <row r="92" spans="1:15" ht="14.25" outlineLevel="2">
      <c r="A92" s="136" t="s">
        <v>116</v>
      </c>
      <c r="B92" s="44">
        <f>'Dtl BA_Considerations'!H27+'Dtl BA_Considerations'!H28+'Dtl BA_Considerations'!H29</f>
        <v>0</v>
      </c>
      <c r="C92" s="44">
        <f>'Dtl BA_Considerations'!I27+'Dtl BA_Considerations'!I28+'Dtl BA_Considerations'!I29</f>
        <v>0</v>
      </c>
      <c r="D92" s="44">
        <f>'Dtl BA_Considerations'!J27+'Dtl BA_Considerations'!J28+'Dtl BA_Considerations'!J29</f>
        <v>0</v>
      </c>
      <c r="E92" s="44">
        <f>'Dtl BA_Considerations'!K27+'Dtl BA_Considerations'!K28+'Dtl BA_Considerations'!K29</f>
        <v>0</v>
      </c>
    </row>
    <row r="93" spans="1:15" ht="14.25" outlineLevel="2">
      <c r="A93" s="136" t="s">
        <v>69</v>
      </c>
      <c r="B93" s="44">
        <f>'Dtl BA_Considerations'!H35+'Dtl BA_Considerations'!H36+'Dtl BA_Considerations'!H37</f>
        <v>0</v>
      </c>
      <c r="C93" s="44">
        <f>'Dtl BA_Considerations'!I35+'Dtl BA_Considerations'!I36+'Dtl BA_Considerations'!I37</f>
        <v>0</v>
      </c>
      <c r="D93" s="44">
        <f>'Dtl BA_Considerations'!J35+'Dtl BA_Considerations'!J36+'Dtl BA_Considerations'!J37</f>
        <v>0</v>
      </c>
      <c r="E93" s="44">
        <f>'Dtl BA_Considerations'!K35+'Dtl BA_Considerations'!K36+'Dtl BA_Considerations'!K37</f>
        <v>0</v>
      </c>
    </row>
    <row r="94" spans="1:15" s="36" customFormat="1" ht="4.7" customHeight="1" outlineLevel="1">
      <c r="A94" s="130"/>
      <c r="B94" s="130"/>
      <c r="C94" s="130"/>
      <c r="D94" s="130"/>
      <c r="E94" s="130"/>
      <c r="F94" s="131"/>
      <c r="G94" s="132"/>
      <c r="H94" s="133"/>
      <c r="I94" s="133"/>
      <c r="J94" s="35"/>
      <c r="K94" s="53"/>
      <c r="L94" s="53"/>
      <c r="M94" s="53"/>
      <c r="N94" s="53"/>
      <c r="O94" s="53"/>
    </row>
    <row r="95" spans="1:15" s="36" customFormat="1" ht="5.25" customHeight="1" outlineLevel="1">
      <c r="A95" s="130"/>
      <c r="B95" s="130"/>
      <c r="C95" s="130"/>
      <c r="D95" s="130"/>
      <c r="E95" s="130"/>
      <c r="F95" s="131"/>
      <c r="G95" s="132"/>
      <c r="H95" s="133"/>
      <c r="I95" s="133"/>
      <c r="J95" s="35"/>
      <c r="K95" s="53"/>
      <c r="L95" s="53"/>
      <c r="M95" s="53"/>
      <c r="N95" s="53"/>
      <c r="O95" s="53"/>
    </row>
    <row r="96" spans="1:15" ht="15.75" hidden="1" outlineLevel="1">
      <c r="A96" s="245" t="str">
        <f>CONCATENATE("Regression Testing/Documentation ")</f>
        <v xml:space="preserve">Regression Testing/Documentation </v>
      </c>
      <c r="B96" s="246">
        <f>'Dtl BA_Considerations'!H40</f>
        <v>0</v>
      </c>
      <c r="C96" s="246">
        <f>'Dtl BA_Considerations'!I40</f>
        <v>0</v>
      </c>
      <c r="D96" s="246">
        <f>'Dtl BA_Considerations'!J40</f>
        <v>0</v>
      </c>
      <c r="E96" s="246">
        <f>'Dtl BA_Considerations'!K40</f>
        <v>0</v>
      </c>
    </row>
    <row r="97" spans="1:15" s="36" customFormat="1" ht="5.25" customHeight="1" outlineLevel="1">
      <c r="A97" s="247"/>
      <c r="B97" s="248"/>
      <c r="C97" s="248"/>
      <c r="D97" s="248"/>
      <c r="E97" s="248"/>
      <c r="F97" s="131"/>
      <c r="G97" s="132"/>
      <c r="H97" s="133"/>
      <c r="I97" s="133"/>
      <c r="J97" s="35"/>
      <c r="K97" s="53"/>
      <c r="L97" s="53"/>
      <c r="M97" s="53"/>
      <c r="N97" s="53"/>
      <c r="O97" s="53"/>
    </row>
    <row r="98" spans="1:15" ht="15.75" outlineLevel="1">
      <c r="A98" s="245" t="s">
        <v>85</v>
      </c>
      <c r="B98" s="246">
        <f>SUM(B99,B107,B103,E111)</f>
        <v>50</v>
      </c>
      <c r="C98" s="246">
        <f>SUM(C99,C107,C103,E111)</f>
        <v>60</v>
      </c>
      <c r="D98" s="246">
        <f>SUM(D99,D107,D103)</f>
        <v>0</v>
      </c>
      <c r="E98" s="246">
        <f>MROUND(SUM(E99,E107,E103,E111),0.25)</f>
        <v>60</v>
      </c>
    </row>
    <row r="99" spans="1:15" ht="15" outlineLevel="2">
      <c r="A99" s="130" t="s">
        <v>99</v>
      </c>
      <c r="B99" s="45">
        <f>SUM(B100:B102)</f>
        <v>40</v>
      </c>
      <c r="C99" s="45">
        <f>SUM(C100:C102)</f>
        <v>50</v>
      </c>
      <c r="D99" s="47">
        <f>SUM(D100:D102)</f>
        <v>0</v>
      </c>
      <c r="E99" s="47">
        <f>SUM(E100:E102)</f>
        <v>50</v>
      </c>
    </row>
    <row r="100" spans="1:15" ht="14.25" outlineLevel="2">
      <c r="A100" s="136" t="s">
        <v>67</v>
      </c>
      <c r="B100" s="44">
        <f>'Dtl BA_Considerations'!H45</f>
        <v>40</v>
      </c>
      <c r="C100" s="44">
        <f>'Dtl BA_Considerations'!I45</f>
        <v>50</v>
      </c>
      <c r="D100" s="44">
        <f>'Dtl BA_Considerations'!J45</f>
        <v>0</v>
      </c>
      <c r="E100" s="44">
        <f>'Dtl BA_Considerations'!K45</f>
        <v>50</v>
      </c>
    </row>
    <row r="101" spans="1:15" ht="14.25" outlineLevel="2">
      <c r="A101" s="136" t="s">
        <v>116</v>
      </c>
      <c r="B101" s="44">
        <f>'Dtl BA_Considerations'!H49</f>
        <v>0</v>
      </c>
      <c r="C101" s="44">
        <f>'Dtl BA_Considerations'!I49</f>
        <v>0</v>
      </c>
      <c r="D101" s="44">
        <f>'Dtl BA_Considerations'!J49</f>
        <v>0</v>
      </c>
      <c r="E101" s="44">
        <f>'Dtl BA_Considerations'!K49</f>
        <v>0</v>
      </c>
    </row>
    <row r="102" spans="1:15" ht="14.25" outlineLevel="2">
      <c r="A102" s="136" t="s">
        <v>69</v>
      </c>
      <c r="B102" s="44">
        <f>'Dtl BA_Considerations'!H53</f>
        <v>0</v>
      </c>
      <c r="C102" s="44">
        <f>'Dtl BA_Considerations'!I53</f>
        <v>0</v>
      </c>
      <c r="D102" s="44">
        <f>'Dtl BA_Considerations'!J53</f>
        <v>0</v>
      </c>
      <c r="E102" s="44">
        <f>'Dtl BA_Considerations'!K53</f>
        <v>0</v>
      </c>
    </row>
    <row r="103" spans="1:15" ht="15" outlineLevel="2">
      <c r="A103" s="130" t="s">
        <v>100</v>
      </c>
      <c r="B103" s="45">
        <f>SUM(B104:B106)</f>
        <v>0</v>
      </c>
      <c r="C103" s="45">
        <f>SUM(C104:C106)</f>
        <v>0</v>
      </c>
      <c r="D103" s="47">
        <f>SUM(D104:D106)</f>
        <v>0</v>
      </c>
      <c r="E103" s="47">
        <f>SUM(E104:E106)</f>
        <v>0</v>
      </c>
    </row>
    <row r="104" spans="1:15" ht="14.25" outlineLevel="2">
      <c r="A104" s="136" t="s">
        <v>67</v>
      </c>
      <c r="B104" s="44">
        <f>'Dtl BA_Considerations'!H46</f>
        <v>0</v>
      </c>
      <c r="C104" s="44">
        <f>'Dtl BA_Considerations'!I46</f>
        <v>0</v>
      </c>
      <c r="D104" s="44">
        <f>'Dtl BA_Considerations'!J46</f>
        <v>0</v>
      </c>
      <c r="E104" s="44">
        <f>'Dtl BA_Considerations'!K46</f>
        <v>0</v>
      </c>
    </row>
    <row r="105" spans="1:15" ht="14.25" outlineLevel="2">
      <c r="A105" s="136" t="s">
        <v>116</v>
      </c>
      <c r="B105" s="44">
        <f>'Dtl BA_Considerations'!H50</f>
        <v>0</v>
      </c>
      <c r="C105" s="44">
        <f>'Dtl BA_Considerations'!I50</f>
        <v>0</v>
      </c>
      <c r="D105" s="44">
        <f>'Dtl BA_Considerations'!J50</f>
        <v>0</v>
      </c>
      <c r="E105" s="44">
        <f>'Dtl BA_Considerations'!K50</f>
        <v>0</v>
      </c>
    </row>
    <row r="106" spans="1:15" ht="14.25" outlineLevel="2">
      <c r="A106" s="136" t="s">
        <v>69</v>
      </c>
      <c r="B106" s="44">
        <f>'Dtl BA_Considerations'!H54</f>
        <v>0</v>
      </c>
      <c r="C106" s="44">
        <f>'Dtl BA_Considerations'!I54</f>
        <v>0</v>
      </c>
      <c r="D106" s="44">
        <f>'Dtl BA_Considerations'!J54</f>
        <v>0</v>
      </c>
      <c r="E106" s="44">
        <f>'Dtl BA_Considerations'!K54</f>
        <v>0</v>
      </c>
    </row>
    <row r="107" spans="1:15" ht="15" outlineLevel="2">
      <c r="A107" s="130" t="s">
        <v>101</v>
      </c>
      <c r="B107" s="45">
        <f>SUM(B108:B110)</f>
        <v>0</v>
      </c>
      <c r="C107" s="45">
        <f>SUM(C108:C110)</f>
        <v>0</v>
      </c>
      <c r="D107" s="47">
        <f>SUM(D108:D110)</f>
        <v>0</v>
      </c>
      <c r="E107" s="47">
        <f>SUM(E108:E110)</f>
        <v>0</v>
      </c>
    </row>
    <row r="108" spans="1:15" ht="14.25" outlineLevel="2">
      <c r="A108" s="136" t="s">
        <v>67</v>
      </c>
      <c r="B108" s="44">
        <f>'Dtl BA_Considerations'!H47</f>
        <v>0</v>
      </c>
      <c r="C108" s="44">
        <f>'Dtl BA_Considerations'!I47</f>
        <v>0</v>
      </c>
      <c r="D108" s="44">
        <f>'Dtl BA_Considerations'!J47</f>
        <v>0</v>
      </c>
      <c r="E108" s="44">
        <f>'Dtl BA_Considerations'!K47</f>
        <v>0</v>
      </c>
    </row>
    <row r="109" spans="1:15" ht="14.25" outlineLevel="2">
      <c r="A109" s="136" t="s">
        <v>116</v>
      </c>
      <c r="B109" s="44">
        <f>'Dtl BA_Considerations'!H51</f>
        <v>0</v>
      </c>
      <c r="C109" s="44">
        <f>'Dtl BA_Considerations'!I51</f>
        <v>0</v>
      </c>
      <c r="D109" s="44">
        <f>'Dtl BA_Considerations'!J51</f>
        <v>0</v>
      </c>
      <c r="E109" s="44">
        <f>'Dtl BA_Considerations'!K51</f>
        <v>0</v>
      </c>
    </row>
    <row r="110" spans="1:15" ht="28.9" customHeight="1" outlineLevel="2">
      <c r="A110" s="136" t="s">
        <v>69</v>
      </c>
      <c r="B110" s="44">
        <f>'Dtl BA_Considerations'!H55</f>
        <v>0</v>
      </c>
      <c r="C110" s="44">
        <f>'Dtl BA_Considerations'!I55</f>
        <v>0</v>
      </c>
      <c r="D110" s="44">
        <f>'Dtl BA_Considerations'!J55</f>
        <v>0</v>
      </c>
      <c r="E110" s="44">
        <f>'Dtl BA_Considerations'!K55</f>
        <v>0</v>
      </c>
    </row>
    <row r="111" spans="1:15" ht="15" outlineLevel="1">
      <c r="A111" s="130" t="s">
        <v>358</v>
      </c>
      <c r="B111" s="45"/>
      <c r="C111" s="45"/>
      <c r="D111" s="47"/>
      <c r="E111" s="47">
        <f>'Dtl BA_Considerations'!K57</f>
        <v>10</v>
      </c>
    </row>
    <row r="112" spans="1:15" s="36" customFormat="1" ht="5.25" customHeight="1" outlineLevel="1">
      <c r="A112" s="130"/>
      <c r="B112" s="130"/>
      <c r="C112" s="130"/>
      <c r="D112" s="130"/>
      <c r="E112" s="130"/>
      <c r="F112" s="131"/>
      <c r="G112" s="132"/>
      <c r="H112" s="133"/>
      <c r="I112" s="133"/>
      <c r="J112" s="35"/>
      <c r="K112" s="53"/>
      <c r="L112" s="53"/>
      <c r="M112" s="53"/>
      <c r="N112" s="53"/>
      <c r="O112" s="53"/>
    </row>
    <row r="113" spans="1:15" s="128" customFormat="1" ht="15" customHeight="1" outlineLevel="1">
      <c r="A113" s="245" t="s">
        <v>383</v>
      </c>
      <c r="B113" s="246"/>
      <c r="C113" s="246"/>
      <c r="D113" s="246"/>
      <c r="E113" s="246">
        <f>'Dtl BA_Considerations'!K61</f>
        <v>10</v>
      </c>
      <c r="F113" s="112"/>
      <c r="G113" s="113"/>
      <c r="H113" s="112"/>
      <c r="I113" s="112"/>
      <c r="L113" s="129"/>
    </row>
    <row r="114" spans="1:15" s="128" customFormat="1" ht="15" customHeight="1" outlineLevel="2">
      <c r="A114" s="136"/>
      <c r="B114" s="44"/>
      <c r="C114" s="44"/>
      <c r="D114" s="44"/>
      <c r="E114" s="44"/>
      <c r="F114" s="112"/>
      <c r="G114" s="113"/>
      <c r="H114" s="112"/>
      <c r="I114" s="112"/>
      <c r="L114" s="129"/>
    </row>
    <row r="115" spans="1:15" s="128" customFormat="1" ht="15" customHeight="1" outlineLevel="2">
      <c r="A115" s="136"/>
      <c r="B115" s="44"/>
      <c r="C115" s="44"/>
      <c r="D115" s="44"/>
      <c r="E115" s="44"/>
      <c r="F115" s="112"/>
      <c r="G115" s="113"/>
      <c r="H115" s="112"/>
      <c r="I115" s="112"/>
      <c r="L115" s="129"/>
    </row>
    <row r="116" spans="1:15" s="128" customFormat="1" ht="15" customHeight="1" outlineLevel="2">
      <c r="A116" s="136"/>
      <c r="B116" s="44"/>
      <c r="C116" s="44"/>
      <c r="D116" s="44"/>
      <c r="E116" s="44"/>
      <c r="F116" s="112"/>
      <c r="G116" s="113"/>
      <c r="H116" s="112"/>
      <c r="I116" s="112"/>
      <c r="L116" s="129"/>
    </row>
    <row r="117" spans="1:15" s="36" customFormat="1" ht="17.649999999999999" customHeight="1">
      <c r="A117" s="142"/>
      <c r="B117" s="142"/>
      <c r="C117" s="142"/>
      <c r="D117" s="142"/>
      <c r="E117" s="142"/>
      <c r="F117" s="131"/>
      <c r="G117" s="132"/>
      <c r="H117" s="133"/>
      <c r="I117" s="133"/>
      <c r="J117" s="35"/>
      <c r="K117" s="53"/>
      <c r="L117" s="53"/>
      <c r="M117" s="53"/>
      <c r="N117" s="53"/>
      <c r="O117" s="53"/>
    </row>
    <row r="118" spans="1:15" s="36" customFormat="1" ht="17.649999999999999" customHeight="1">
      <c r="A118" s="142"/>
      <c r="B118" s="142"/>
      <c r="C118" s="142"/>
      <c r="D118" s="142"/>
      <c r="E118" s="142"/>
      <c r="F118" s="131"/>
      <c r="G118" s="132"/>
      <c r="H118" s="133"/>
      <c r="I118" s="133"/>
      <c r="J118" s="35"/>
      <c r="K118" s="53"/>
      <c r="L118" s="53"/>
      <c r="M118" s="53"/>
      <c r="N118" s="53"/>
      <c r="O118" s="53"/>
    </row>
    <row r="119" spans="1:15" ht="33.75" customHeight="1">
      <c r="A119" s="453" t="s">
        <v>96</v>
      </c>
      <c r="B119" s="453"/>
      <c r="C119" s="43" t="s">
        <v>77</v>
      </c>
      <c r="D119" s="43" t="s">
        <v>93</v>
      </c>
      <c r="E119" s="43" t="s">
        <v>81</v>
      </c>
    </row>
    <row r="120" spans="1:15" ht="18">
      <c r="A120" s="454" t="s">
        <v>118</v>
      </c>
      <c r="B120" s="454"/>
      <c r="C120" s="218">
        <f>'Dtl Collaboration_Quality'!G12</f>
        <v>187.5</v>
      </c>
      <c r="D120" s="218">
        <f>'Dtl Collaboration_Quality'!H12</f>
        <v>0</v>
      </c>
      <c r="E120" s="218">
        <f>'Dtl Collaboration_Quality'!I12</f>
        <v>187.5</v>
      </c>
    </row>
    <row r="121" spans="1:15" ht="17.649999999999999" customHeight="1"/>
  </sheetData>
  <sheetProtection algorithmName="SHA-512" hashValue="Dt0k35+VBRU20SPUZDMCVRJVdTCv03Vcq6+ejbxdKb3t3mmsB3KZFZcv3iGKoGX9cxauEyI4xwQmDhfz/YBODg==" saltValue="9A1z4wUNk34cs6cIm6umKw==" spinCount="100000" sheet="1" selectLockedCells="1"/>
  <protectedRanges>
    <protectedRange algorithmName="SHA-512" hashValue="H1NFzjvhRGDGqAFsU7+pZxrqzLNAYS7HH2PlHFpCTo7/QsUVIon12U6CFtxErMVFYnXqVX4Kq+yRLqGyXaQgnw==" saltValue="SALr9iWJo70UfbeE6JvMSg==" spinCount="100000" sqref="C119:C120 A12:A121 D12:F121 B12:C118 B121:C121"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9">
    <mergeCell ref="A119:B119"/>
    <mergeCell ref="A120:B120"/>
    <mergeCell ref="B1:F1"/>
    <mergeCell ref="B40:E40"/>
    <mergeCell ref="B2:F2"/>
    <mergeCell ref="B12:F23"/>
    <mergeCell ref="B25:F36"/>
    <mergeCell ref="B38:E38"/>
    <mergeCell ref="B39:E39"/>
  </mergeCell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01"/>
  <sheetViews>
    <sheetView topLeftCell="A33" zoomScaleNormal="100" workbookViewId="0">
      <selection activeCell="B41" sqref="B41"/>
    </sheetView>
  </sheetViews>
  <sheetFormatPr defaultColWidth="24.42578125" defaultRowHeight="12.75"/>
  <cols>
    <col min="1" max="1" width="37.42578125" style="112" customWidth="1"/>
    <col min="2" max="2" width="45.42578125" style="112" customWidth="1"/>
    <col min="3" max="3" width="15.42578125" style="112" bestFit="1" customWidth="1"/>
    <col min="4" max="4" width="9.42578125" style="112" customWidth="1"/>
    <col min="5" max="5" width="12.42578125" style="112" customWidth="1"/>
    <col min="6" max="6" width="11.42578125" style="112" customWidth="1"/>
    <col min="7" max="7" width="14.42578125" style="112" customWidth="1"/>
    <col min="8" max="8" width="11.42578125" style="112" bestFit="1" customWidth="1"/>
    <col min="9" max="9" width="11" style="112" bestFit="1" customWidth="1"/>
    <col min="10" max="10" width="13.42578125" style="112" bestFit="1" customWidth="1"/>
    <col min="11" max="11" width="24.42578125" style="112"/>
    <col min="12" max="12" width="16.42578125" style="151" customWidth="1"/>
    <col min="13" max="16384" width="24.42578125" style="112"/>
  </cols>
  <sheetData>
    <row r="1" spans="1:17" ht="15.75">
      <c r="A1" s="411" t="str">
        <f>InitialEstimate!A1</f>
        <v>Template Version:</v>
      </c>
      <c r="B1" s="412">
        <f>InitialEstimate!B1</f>
        <v>2.9</v>
      </c>
    </row>
    <row r="2" spans="1:17" ht="28.15" customHeight="1">
      <c r="A2" s="210" t="s">
        <v>102</v>
      </c>
      <c r="B2" s="239"/>
    </row>
    <row r="4" spans="1:17" s="36" customFormat="1" ht="20.25">
      <c r="A4" s="210" t="s">
        <v>22</v>
      </c>
      <c r="B4" s="116" t="str">
        <f>InitialEstimate!F3</f>
        <v>CO 23810 003</v>
      </c>
      <c r="C4" s="112"/>
      <c r="D4" s="112"/>
      <c r="E4" s="112"/>
      <c r="F4" s="112"/>
      <c r="I4" s="35"/>
      <c r="J4" s="35"/>
      <c r="K4" s="35"/>
      <c r="L4" s="49"/>
      <c r="O4" s="37"/>
      <c r="P4" s="37"/>
      <c r="Q4" s="117"/>
    </row>
    <row r="5" spans="1:17" s="36" customFormat="1" ht="42" customHeight="1">
      <c r="A5" s="41" t="s">
        <v>20</v>
      </c>
      <c r="B5" s="465" t="s">
        <v>236</v>
      </c>
      <c r="C5" s="465"/>
      <c r="D5" s="465"/>
      <c r="E5" s="465"/>
      <c r="F5" s="465"/>
      <c r="G5" s="49"/>
      <c r="H5" s="49"/>
      <c r="I5" s="49"/>
      <c r="J5" s="49"/>
      <c r="K5" s="49"/>
      <c r="L5" s="49"/>
      <c r="M5" s="49"/>
    </row>
    <row r="6" spans="1:17" s="36" customFormat="1" ht="15">
      <c r="A6" s="41" t="s">
        <v>47</v>
      </c>
      <c r="B6" s="238" t="s">
        <v>423</v>
      </c>
      <c r="C6" s="112"/>
      <c r="E6" s="30"/>
      <c r="F6" s="30"/>
      <c r="G6" s="152"/>
      <c r="H6" s="49"/>
      <c r="I6" s="50"/>
      <c r="J6" s="49"/>
      <c r="K6" s="35"/>
      <c r="L6" s="49"/>
    </row>
    <row r="7" spans="1:17">
      <c r="A7" s="151"/>
      <c r="B7" s="151"/>
    </row>
    <row r="8" spans="1:17" s="153" customFormat="1" ht="50.25" customHeight="1">
      <c r="A8" s="212" t="s">
        <v>68</v>
      </c>
      <c r="B8" s="212" t="s">
        <v>5</v>
      </c>
      <c r="C8" s="212" t="s">
        <v>65</v>
      </c>
      <c r="D8" s="212" t="s">
        <v>62</v>
      </c>
      <c r="E8" s="212" t="s">
        <v>63</v>
      </c>
      <c r="F8" s="212" t="s">
        <v>64</v>
      </c>
      <c r="G8" s="212" t="s">
        <v>94</v>
      </c>
      <c r="H8" s="212" t="s">
        <v>79</v>
      </c>
      <c r="I8" s="212" t="s">
        <v>80</v>
      </c>
      <c r="J8" s="212" t="s">
        <v>81</v>
      </c>
      <c r="L8" s="243" t="s">
        <v>108</v>
      </c>
    </row>
    <row r="9" spans="1:17" s="36" customFormat="1" ht="25.5" customHeight="1">
      <c r="A9" s="283" t="s">
        <v>264</v>
      </c>
      <c r="B9" s="130"/>
      <c r="C9" s="155"/>
      <c r="D9" s="155"/>
      <c r="E9" s="155"/>
      <c r="F9" s="155"/>
      <c r="G9" s="156"/>
      <c r="H9" s="156"/>
      <c r="I9" s="157"/>
      <c r="J9" s="271">
        <f>MROUND(SUM(J11+I85),0.25)</f>
        <v>14.5</v>
      </c>
      <c r="K9" s="153"/>
      <c r="L9" s="51"/>
      <c r="M9" s="53"/>
      <c r="N9" s="53"/>
      <c r="O9" s="53"/>
      <c r="P9" s="53"/>
      <c r="Q9" s="53"/>
    </row>
    <row r="10" spans="1:17" s="36" customFormat="1" ht="8.65" customHeight="1">
      <c r="A10" s="154"/>
      <c r="B10" s="130"/>
      <c r="C10" s="155"/>
      <c r="D10" s="155"/>
      <c r="E10" s="155"/>
      <c r="F10" s="155"/>
      <c r="G10" s="156"/>
      <c r="H10" s="156"/>
      <c r="I10" s="157"/>
      <c r="J10" s="157"/>
      <c r="K10" s="153"/>
      <c r="L10" s="51"/>
      <c r="M10" s="53"/>
      <c r="N10" s="53"/>
      <c r="O10" s="53"/>
      <c r="P10" s="53"/>
      <c r="Q10" s="53"/>
    </row>
    <row r="11" spans="1:17" s="153" customFormat="1" ht="22.7" customHeight="1">
      <c r="A11" s="283" t="s">
        <v>245</v>
      </c>
      <c r="B11" s="466" t="s">
        <v>95</v>
      </c>
      <c r="C11" s="466"/>
      <c r="D11" s="466"/>
      <c r="E11" s="466"/>
      <c r="F11" s="466"/>
      <c r="G11" s="271">
        <f>MROUND(SUM(G12,G26,G35,G40,G45,G50,G56,G63, G68, G73,G78),0.25)</f>
        <v>9.5</v>
      </c>
      <c r="H11" s="271">
        <f>MROUND(SUM(H12,H26,H35,H40,H45,H50,H56,H63, H68, H73,H78),0.25)</f>
        <v>9.5</v>
      </c>
      <c r="I11" s="271">
        <f>IF(MROUND(SUM(I12,I26,I35,I40,I45,I50,I56,I63,I68,I73,I78),0.25)&lt;0,((MROUND(SUM(I12,I26,I35,I40,I45,I50,I56,I63,I68,I73,I78),0.25))*-1)*-1,MROUND(SUM(I12,I26,I35,I40,I45,I50,I56,I63,I68,I73,I78),0.25))</f>
        <v>0</v>
      </c>
      <c r="J11" s="271">
        <f>IF(MROUND(SUM(J12,J26,J35,J40,J45,J50,J56,J63,J68,J73,J78),0.25)&lt;0,((MROUND(SUM(J12,J26,J35,J40,J45,J50,J56,J63,J68,J73,J78),0.25))*-1)*-1,MROUND(SUM(J12,J26,J35,J40,J45,J50,J56,J63,J68,J73,J78),0.25))</f>
        <v>9.5</v>
      </c>
      <c r="K11" s="158"/>
      <c r="L11" s="324"/>
    </row>
    <row r="12" spans="1:17" s="36" customFormat="1" ht="21.75" customHeight="1">
      <c r="A12" s="467" t="s">
        <v>200</v>
      </c>
      <c r="B12" s="468"/>
      <c r="C12" s="468"/>
      <c r="D12" s="159">
        <f t="shared" ref="D12:J12" si="0">SUM(D13:D24)</f>
        <v>0</v>
      </c>
      <c r="E12" s="159">
        <f t="shared" si="0"/>
        <v>0</v>
      </c>
      <c r="F12" s="159">
        <f t="shared" si="0"/>
        <v>0</v>
      </c>
      <c r="G12" s="159">
        <f t="shared" si="0"/>
        <v>0</v>
      </c>
      <c r="H12" s="159">
        <f t="shared" si="0"/>
        <v>0</v>
      </c>
      <c r="I12" s="159">
        <f t="shared" si="0"/>
        <v>0</v>
      </c>
      <c r="J12" s="323">
        <f t="shared" si="0"/>
        <v>0</v>
      </c>
      <c r="K12" s="112"/>
      <c r="L12" s="325"/>
      <c r="M12" s="53"/>
      <c r="N12" s="53"/>
      <c r="O12" s="53"/>
      <c r="P12" s="53"/>
      <c r="Q12" s="53"/>
    </row>
    <row r="13" spans="1:17" s="308" customFormat="1" ht="20.25" customHeight="1">
      <c r="A13" s="232" t="s">
        <v>67</v>
      </c>
      <c r="B13" s="232" t="s">
        <v>239</v>
      </c>
      <c r="C13" s="231" t="s">
        <v>0</v>
      </c>
      <c r="D13" s="234"/>
      <c r="E13" s="234">
        <v>0</v>
      </c>
      <c r="F13" s="234">
        <v>0</v>
      </c>
      <c r="G13" s="320">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0</v>
      </c>
      <c r="H13" s="320">
        <f>VLOOKUP($A13,DetailedEstWeightedValues!$A$112:$B$115,2,FALSE) * G13</f>
        <v>0</v>
      </c>
      <c r="I13" s="234">
        <v>0</v>
      </c>
      <c r="J13" s="320">
        <f t="shared" ref="J13:J23" si="1">SUM(H13:I13)</f>
        <v>0</v>
      </c>
      <c r="L13" s="237"/>
    </row>
    <row r="14" spans="1:17" s="308" customFormat="1" ht="20.25" customHeight="1">
      <c r="A14" s="237" t="s">
        <v>116</v>
      </c>
      <c r="B14" s="237" t="s">
        <v>240</v>
      </c>
      <c r="C14" s="237" t="s">
        <v>0</v>
      </c>
      <c r="D14" s="234"/>
      <c r="E14" s="234">
        <v>0</v>
      </c>
      <c r="F14" s="234">
        <v>0</v>
      </c>
      <c r="G14" s="320">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0</v>
      </c>
      <c r="H14" s="320">
        <f>VLOOKUP($A14,DetailedEstWeightedValues!$A$112:$B$115,2,FALSE) * G14</f>
        <v>0</v>
      </c>
      <c r="I14" s="234">
        <v>0</v>
      </c>
      <c r="J14" s="320">
        <f t="shared" si="1"/>
        <v>0</v>
      </c>
      <c r="L14" s="237"/>
    </row>
    <row r="15" spans="1:17" s="308" customFormat="1" ht="20.25" customHeight="1">
      <c r="A15" s="237" t="s">
        <v>116</v>
      </c>
      <c r="B15" s="237" t="s">
        <v>247</v>
      </c>
      <c r="C15" s="237" t="s">
        <v>0</v>
      </c>
      <c r="D15" s="234">
        <v>0</v>
      </c>
      <c r="E15" s="234">
        <v>0</v>
      </c>
      <c r="F15" s="234">
        <v>0</v>
      </c>
      <c r="G15" s="320">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20">
        <f>VLOOKUP($A15,DetailedEstWeightedValues!$A$112:$B$115,2,FALSE) * G15</f>
        <v>0</v>
      </c>
      <c r="I15" s="234">
        <v>0</v>
      </c>
      <c r="J15" s="320">
        <f t="shared" si="1"/>
        <v>0</v>
      </c>
      <c r="L15" s="237"/>
    </row>
    <row r="16" spans="1:17" s="308" customFormat="1" ht="20.25" customHeight="1">
      <c r="A16" s="237" t="s">
        <v>116</v>
      </c>
      <c r="B16" s="237" t="s">
        <v>274</v>
      </c>
      <c r="C16" s="237" t="s">
        <v>0</v>
      </c>
      <c r="D16" s="234">
        <v>0</v>
      </c>
      <c r="E16" s="234">
        <v>0</v>
      </c>
      <c r="F16" s="234">
        <v>0</v>
      </c>
      <c r="G16" s="320">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20">
        <f>VLOOKUP($A16,DetailedEstWeightedValues!$A$112:$B$115,2,FALSE) * G16</f>
        <v>0</v>
      </c>
      <c r="I16" s="234">
        <v>0</v>
      </c>
      <c r="J16" s="320">
        <f t="shared" si="1"/>
        <v>0</v>
      </c>
      <c r="L16" s="237"/>
    </row>
    <row r="17" spans="1:17" s="308" customFormat="1" ht="20.25" customHeight="1">
      <c r="A17" s="237" t="s">
        <v>116</v>
      </c>
      <c r="B17" s="237"/>
      <c r="C17" s="237" t="s">
        <v>0</v>
      </c>
      <c r="D17" s="234">
        <v>0</v>
      </c>
      <c r="E17" s="234">
        <v>0</v>
      </c>
      <c r="F17" s="234">
        <v>0</v>
      </c>
      <c r="G17" s="320">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20">
        <f>VLOOKUP($A17,DetailedEstWeightedValues!$A$112:$B$115,2,FALSE) * G17</f>
        <v>0</v>
      </c>
      <c r="I17" s="234">
        <v>0</v>
      </c>
      <c r="J17" s="320">
        <f t="shared" si="1"/>
        <v>0</v>
      </c>
      <c r="L17" s="237"/>
    </row>
    <row r="18" spans="1:17" s="308" customFormat="1" ht="20.25" customHeight="1">
      <c r="A18" s="237" t="s">
        <v>216</v>
      </c>
      <c r="B18" s="237"/>
      <c r="C18" s="237" t="s">
        <v>0</v>
      </c>
      <c r="D18" s="233">
        <v>0</v>
      </c>
      <c r="E18" s="233">
        <v>0</v>
      </c>
      <c r="F18" s="233">
        <v>0</v>
      </c>
      <c r="G18" s="320">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20">
        <f>VLOOKUP($A18,DetailedEstWeightedValues!$A$112:$B$115,2,FALSE) * G18</f>
        <v>0</v>
      </c>
      <c r="I18" s="234">
        <v>0</v>
      </c>
      <c r="J18" s="320">
        <f t="shared" si="1"/>
        <v>0</v>
      </c>
      <c r="L18" s="237"/>
    </row>
    <row r="19" spans="1:17" s="308" customFormat="1" ht="20.25" customHeight="1">
      <c r="A19" s="237" t="s">
        <v>67</v>
      </c>
      <c r="B19" s="237"/>
      <c r="C19" s="237" t="s">
        <v>0</v>
      </c>
      <c r="D19" s="233">
        <v>0</v>
      </c>
      <c r="E19" s="233">
        <v>0</v>
      </c>
      <c r="F19" s="233">
        <v>0</v>
      </c>
      <c r="G19" s="320">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20">
        <f>VLOOKUP($A19,DetailedEstWeightedValues!$A$112:$B$115,2,FALSE) * G19</f>
        <v>0</v>
      </c>
      <c r="I19" s="234">
        <v>0</v>
      </c>
      <c r="J19" s="320">
        <f t="shared" si="1"/>
        <v>0</v>
      </c>
      <c r="L19" s="237"/>
    </row>
    <row r="20" spans="1:17" s="308" customFormat="1" ht="20.25" customHeight="1">
      <c r="A20" s="237" t="s">
        <v>216</v>
      </c>
      <c r="B20" s="237"/>
      <c r="C20" s="237" t="s">
        <v>0</v>
      </c>
      <c r="D20" s="233">
        <v>0</v>
      </c>
      <c r="E20" s="233">
        <v>0</v>
      </c>
      <c r="F20" s="233">
        <v>0</v>
      </c>
      <c r="G20" s="320">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20">
        <f>VLOOKUP($A20,DetailedEstWeightedValues!$A$112:$B$115,2,FALSE) * G20</f>
        <v>0</v>
      </c>
      <c r="I20" s="234">
        <v>0</v>
      </c>
      <c r="J20" s="320">
        <f t="shared" si="1"/>
        <v>0</v>
      </c>
      <c r="L20" s="237"/>
    </row>
    <row r="21" spans="1:17" s="308" customFormat="1" ht="20.25" customHeight="1">
      <c r="A21" s="237" t="s">
        <v>216</v>
      </c>
      <c r="B21" s="237"/>
      <c r="C21" s="237" t="s">
        <v>0</v>
      </c>
      <c r="D21" s="233">
        <v>0</v>
      </c>
      <c r="E21" s="233">
        <v>0</v>
      </c>
      <c r="F21" s="233">
        <v>0</v>
      </c>
      <c r="G21" s="320">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20">
        <f>VLOOKUP($A21,DetailedEstWeightedValues!$A$112:$B$115,2,FALSE) * G21</f>
        <v>0</v>
      </c>
      <c r="I21" s="234">
        <v>0</v>
      </c>
      <c r="J21" s="320">
        <f t="shared" si="1"/>
        <v>0</v>
      </c>
      <c r="L21" s="237"/>
    </row>
    <row r="22" spans="1:17" s="308" customFormat="1" ht="20.25" customHeight="1">
      <c r="A22" s="237" t="s">
        <v>216</v>
      </c>
      <c r="B22" s="237"/>
      <c r="C22" s="237" t="s">
        <v>0</v>
      </c>
      <c r="D22" s="233">
        <v>0</v>
      </c>
      <c r="E22" s="233">
        <v>0</v>
      </c>
      <c r="F22" s="233">
        <v>0</v>
      </c>
      <c r="G22" s="320">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20">
        <f>VLOOKUP($A22,DetailedEstWeightedValues!$A$112:$B$115,2,FALSE) * G22</f>
        <v>0</v>
      </c>
      <c r="I22" s="234">
        <v>0</v>
      </c>
      <c r="J22" s="320">
        <f t="shared" si="1"/>
        <v>0</v>
      </c>
      <c r="L22" s="237"/>
    </row>
    <row r="23" spans="1:17" s="308" customFormat="1" ht="20.25" customHeight="1">
      <c r="A23" s="231" t="s">
        <v>216</v>
      </c>
      <c r="B23" s="231"/>
      <c r="C23" s="231" t="s">
        <v>0</v>
      </c>
      <c r="D23" s="234">
        <v>0</v>
      </c>
      <c r="E23" s="234">
        <v>0</v>
      </c>
      <c r="F23" s="234">
        <v>0</v>
      </c>
      <c r="G23" s="160">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0">
        <f>VLOOKUP($A23,DetailedEstWeightedValues!$A$112:$B$115,2,FALSE) * G23</f>
        <v>0</v>
      </c>
      <c r="I23" s="234"/>
      <c r="J23" s="160">
        <f t="shared" si="1"/>
        <v>0</v>
      </c>
      <c r="L23" s="231"/>
    </row>
    <row r="24" spans="1:17" s="308" customFormat="1" ht="20.25" customHeight="1">
      <c r="A24" s="161"/>
      <c r="B24" s="161"/>
      <c r="C24" s="164"/>
      <c r="D24" s="162"/>
      <c r="E24" s="162"/>
      <c r="F24" s="162"/>
      <c r="G24" s="164"/>
      <c r="H24" s="164"/>
      <c r="I24" s="164"/>
      <c r="J24" s="309"/>
      <c r="L24" s="166"/>
    </row>
    <row r="25" spans="1:17" ht="20.25" customHeight="1">
      <c r="A25" s="299"/>
      <c r="B25" s="161"/>
      <c r="C25" s="164"/>
      <c r="D25" s="169"/>
      <c r="E25" s="169"/>
      <c r="F25" s="169"/>
      <c r="G25" s="170"/>
      <c r="H25" s="170"/>
      <c r="I25" s="171"/>
      <c r="J25" s="172"/>
      <c r="L25" s="166"/>
    </row>
    <row r="26" spans="1:17" s="36" customFormat="1" ht="20.25" customHeight="1">
      <c r="A26" s="469" t="s">
        <v>46</v>
      </c>
      <c r="B26" s="470"/>
      <c r="C26" s="470"/>
      <c r="D26" s="173">
        <f t="shared" ref="D26:J26" si="2">SUM(D27:D33)</f>
        <v>0</v>
      </c>
      <c r="E26" s="173">
        <f t="shared" si="2"/>
        <v>0</v>
      </c>
      <c r="F26" s="173">
        <f t="shared" si="2"/>
        <v>0</v>
      </c>
      <c r="G26" s="173">
        <f t="shared" si="2"/>
        <v>0</v>
      </c>
      <c r="H26" s="173">
        <f t="shared" si="2"/>
        <v>0</v>
      </c>
      <c r="I26" s="173">
        <f t="shared" si="2"/>
        <v>0</v>
      </c>
      <c r="J26" s="323">
        <f t="shared" si="2"/>
        <v>0</v>
      </c>
      <c r="K26" s="112"/>
      <c r="L26" s="112"/>
      <c r="M26" s="53"/>
      <c r="N26" s="53"/>
      <c r="O26" s="53"/>
      <c r="P26" s="53"/>
      <c r="Q26" s="53"/>
    </row>
    <row r="27" spans="1:17" s="308" customFormat="1" ht="20.25" customHeight="1">
      <c r="A27" s="235" t="s">
        <v>116</v>
      </c>
      <c r="B27" s="235" t="s">
        <v>248</v>
      </c>
      <c r="C27" s="235" t="s">
        <v>19</v>
      </c>
      <c r="D27" s="234">
        <v>0</v>
      </c>
      <c r="E27" s="234">
        <v>0</v>
      </c>
      <c r="F27" s="234">
        <v>0</v>
      </c>
      <c r="G27" s="320">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20">
        <f>VLOOKUP($A27,DetailedEstWeightedValues!$A$112:$B$115,2,FALSE) * G27</f>
        <v>0</v>
      </c>
      <c r="I27" s="234">
        <v>0</v>
      </c>
      <c r="J27" s="320">
        <f t="shared" ref="J27:J32" si="3">SUM(H27:I27)</f>
        <v>0</v>
      </c>
      <c r="L27" s="231"/>
    </row>
    <row r="28" spans="1:17" s="308" customFormat="1" ht="20.25" customHeight="1">
      <c r="A28" s="235" t="s">
        <v>67</v>
      </c>
      <c r="B28" s="235" t="s">
        <v>249</v>
      </c>
      <c r="C28" s="235" t="s">
        <v>19</v>
      </c>
      <c r="D28" s="234">
        <v>0</v>
      </c>
      <c r="E28" s="234">
        <v>0</v>
      </c>
      <c r="F28" s="234">
        <v>0</v>
      </c>
      <c r="G28" s="320">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20">
        <f>VLOOKUP($A28,DetailedEstWeightedValues!$A$112:$B$115,2,FALSE) * G28</f>
        <v>0</v>
      </c>
      <c r="I28" s="234">
        <v>0</v>
      </c>
      <c r="J28" s="320">
        <f t="shared" si="3"/>
        <v>0</v>
      </c>
      <c r="L28" s="231"/>
    </row>
    <row r="29" spans="1:17" s="308" customFormat="1" ht="20.25" customHeight="1">
      <c r="A29" s="235" t="s">
        <v>116</v>
      </c>
      <c r="B29" s="235" t="s">
        <v>250</v>
      </c>
      <c r="C29" s="235" t="s">
        <v>19</v>
      </c>
      <c r="D29" s="234">
        <v>0</v>
      </c>
      <c r="E29" s="234">
        <v>0</v>
      </c>
      <c r="F29" s="234">
        <v>0</v>
      </c>
      <c r="G29" s="320">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20">
        <f>VLOOKUP($A29,DetailedEstWeightedValues!$A$112:$B$115,2,FALSE) * G29</f>
        <v>0</v>
      </c>
      <c r="I29" s="234">
        <v>0</v>
      </c>
      <c r="J29" s="320">
        <f t="shared" si="3"/>
        <v>0</v>
      </c>
      <c r="L29" s="231"/>
    </row>
    <row r="30" spans="1:17" s="308" customFormat="1" ht="20.25" customHeight="1">
      <c r="A30" s="235" t="s">
        <v>67</v>
      </c>
      <c r="B30" s="235" t="s">
        <v>275</v>
      </c>
      <c r="C30" s="235" t="s">
        <v>19</v>
      </c>
      <c r="D30" s="234">
        <v>0</v>
      </c>
      <c r="E30" s="234">
        <v>0</v>
      </c>
      <c r="F30" s="234">
        <v>0</v>
      </c>
      <c r="G30" s="320">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20">
        <f>VLOOKUP($A30,DetailedEstWeightedValues!$A$112:$B$115,2,FALSE) * G30</f>
        <v>0</v>
      </c>
      <c r="I30" s="234">
        <v>0</v>
      </c>
      <c r="J30" s="320">
        <f t="shared" si="3"/>
        <v>0</v>
      </c>
      <c r="L30" s="231"/>
    </row>
    <row r="31" spans="1:17" s="308" customFormat="1" ht="20.25" customHeight="1">
      <c r="A31" s="235" t="s">
        <v>116</v>
      </c>
      <c r="B31" s="235" t="s">
        <v>276</v>
      </c>
      <c r="C31" s="235" t="s">
        <v>0</v>
      </c>
      <c r="D31" s="234">
        <v>0</v>
      </c>
      <c r="E31" s="234">
        <v>0</v>
      </c>
      <c r="F31" s="234">
        <v>0</v>
      </c>
      <c r="G31" s="320">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20">
        <f>VLOOKUP($A31,DetailedEstWeightedValues!$A$112:$B$115,2,FALSE) * G31</f>
        <v>0</v>
      </c>
      <c r="I31" s="234">
        <v>0</v>
      </c>
      <c r="J31" s="320">
        <f t="shared" si="3"/>
        <v>0</v>
      </c>
      <c r="L31" s="231"/>
    </row>
    <row r="32" spans="1:17" s="308" customFormat="1" ht="20.25" customHeight="1">
      <c r="A32" s="236" t="s">
        <v>69</v>
      </c>
      <c r="B32" s="236" t="s">
        <v>277</v>
      </c>
      <c r="C32" s="236" t="s">
        <v>0</v>
      </c>
      <c r="D32" s="234">
        <v>0</v>
      </c>
      <c r="E32" s="234">
        <v>0</v>
      </c>
      <c r="F32" s="234">
        <v>0</v>
      </c>
      <c r="G32" s="160">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0">
        <f>VLOOKUP($A32,DetailedEstWeightedValues!$A$112:$B$115,2,FALSE) * G32</f>
        <v>0</v>
      </c>
      <c r="I32" s="234">
        <v>0</v>
      </c>
      <c r="J32" s="160">
        <f t="shared" si="3"/>
        <v>0</v>
      </c>
      <c r="L32" s="231"/>
    </row>
    <row r="33" spans="1:17" s="308" customFormat="1" ht="20.25" customHeight="1">
      <c r="A33" s="161"/>
      <c r="B33" s="161"/>
      <c r="C33" s="161"/>
      <c r="D33" s="162"/>
      <c r="E33" s="162"/>
      <c r="F33" s="162"/>
      <c r="G33" s="164"/>
      <c r="H33" s="164"/>
      <c r="I33" s="164"/>
      <c r="J33" s="309"/>
      <c r="L33" s="166"/>
    </row>
    <row r="34" spans="1:17" ht="20.25" customHeight="1">
      <c r="A34" s="167"/>
      <c r="B34" s="168"/>
      <c r="C34" s="168"/>
      <c r="D34" s="169"/>
      <c r="E34" s="169"/>
      <c r="F34" s="169"/>
      <c r="G34" s="170"/>
      <c r="H34" s="170"/>
      <c r="I34" s="171"/>
      <c r="J34" s="172"/>
      <c r="L34" s="166"/>
    </row>
    <row r="35" spans="1:17" s="36" customFormat="1" ht="20.25" customHeight="1">
      <c r="A35" s="469" t="s">
        <v>153</v>
      </c>
      <c r="B35" s="470"/>
      <c r="C35" s="470"/>
      <c r="D35" s="173">
        <f>SUM(D36:D38)</f>
        <v>0</v>
      </c>
      <c r="E35" s="173">
        <f t="shared" ref="E35:J35" si="4">SUM(E36:E38)</f>
        <v>0</v>
      </c>
      <c r="F35" s="173">
        <f t="shared" si="4"/>
        <v>0</v>
      </c>
      <c r="G35" s="173">
        <f t="shared" si="4"/>
        <v>0</v>
      </c>
      <c r="H35" s="173">
        <f t="shared" si="4"/>
        <v>0</v>
      </c>
      <c r="I35" s="173">
        <f t="shared" si="4"/>
        <v>0</v>
      </c>
      <c r="J35" s="323">
        <f t="shared" si="4"/>
        <v>0</v>
      </c>
      <c r="K35" s="112"/>
      <c r="L35" s="112"/>
      <c r="M35" s="53"/>
      <c r="N35" s="53"/>
      <c r="O35" s="53"/>
      <c r="P35" s="53"/>
      <c r="Q35" s="53"/>
    </row>
    <row r="36" spans="1:17" s="308" customFormat="1" ht="20.25" customHeight="1">
      <c r="A36" s="237" t="s">
        <v>116</v>
      </c>
      <c r="B36" s="237"/>
      <c r="C36" s="237" t="s">
        <v>0</v>
      </c>
      <c r="D36" s="231">
        <v>0</v>
      </c>
      <c r="E36" s="233">
        <v>0</v>
      </c>
      <c r="F36" s="237"/>
      <c r="G36" s="321">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0</v>
      </c>
      <c r="H36" s="321">
        <f>VLOOKUP($A36,DetailedEstWeightedValues!$A$112:$B$115,2,FALSE) * G36</f>
        <v>0</v>
      </c>
      <c r="I36" s="234">
        <v>0</v>
      </c>
      <c r="J36" s="321">
        <f t="shared" ref="J36:J37" si="5">SUM(H36:I36)</f>
        <v>0</v>
      </c>
      <c r="L36" s="237"/>
    </row>
    <row r="37" spans="1:17" s="308" customFormat="1" ht="20.25" customHeight="1">
      <c r="A37" s="231" t="s">
        <v>116</v>
      </c>
      <c r="B37" s="231"/>
      <c r="C37" s="231" t="s">
        <v>0</v>
      </c>
      <c r="D37" s="231">
        <v>0</v>
      </c>
      <c r="E37" s="234">
        <v>0</v>
      </c>
      <c r="F37" s="231">
        <v>0</v>
      </c>
      <c r="G37" s="160">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0</v>
      </c>
      <c r="H37" s="160">
        <f>VLOOKUP($A37,DetailedEstWeightedValues!$A$112:$B$115,2,FALSE) * G37</f>
        <v>0</v>
      </c>
      <c r="I37" s="234">
        <v>0</v>
      </c>
      <c r="J37" s="160">
        <f t="shared" si="5"/>
        <v>0</v>
      </c>
      <c r="L37" s="231"/>
    </row>
    <row r="38" spans="1:17" ht="20.25" customHeight="1">
      <c r="A38" s="167"/>
      <c r="B38" s="168"/>
      <c r="C38" s="168"/>
      <c r="D38" s="169"/>
      <c r="E38" s="169"/>
      <c r="F38" s="169"/>
      <c r="G38" s="170"/>
      <c r="H38" s="170"/>
      <c r="I38" s="171"/>
      <c r="J38" s="172"/>
      <c r="L38" s="166"/>
    </row>
    <row r="39" spans="1:17" ht="20.25" customHeight="1">
      <c r="A39" s="167"/>
      <c r="B39" s="168"/>
      <c r="C39" s="168"/>
      <c r="D39" s="169"/>
      <c r="E39" s="169"/>
      <c r="F39" s="169"/>
      <c r="G39" s="170"/>
      <c r="H39" s="170"/>
      <c r="I39" s="171"/>
      <c r="J39" s="172"/>
      <c r="L39" s="166"/>
    </row>
    <row r="40" spans="1:17" ht="20.25" customHeight="1">
      <c r="A40" s="469" t="s">
        <v>217</v>
      </c>
      <c r="B40" s="470"/>
      <c r="C40" s="470"/>
      <c r="D40" s="173">
        <f>SUM(D41:D43)</f>
        <v>0</v>
      </c>
      <c r="E40" s="173">
        <f t="shared" ref="E40:J40" si="6">SUM(E41:E43)</f>
        <v>1</v>
      </c>
      <c r="F40" s="173">
        <f t="shared" si="6"/>
        <v>0</v>
      </c>
      <c r="G40" s="173">
        <f t="shared" si="6"/>
        <v>9.5</v>
      </c>
      <c r="H40" s="173">
        <f t="shared" si="6"/>
        <v>9.5</v>
      </c>
      <c r="I40" s="173">
        <f t="shared" si="6"/>
        <v>0</v>
      </c>
      <c r="J40" s="323">
        <f t="shared" si="6"/>
        <v>9.5</v>
      </c>
      <c r="L40" s="112"/>
    </row>
    <row r="41" spans="1:17" s="308" customFormat="1" ht="20.25" customHeight="1">
      <c r="A41" s="237" t="s">
        <v>116</v>
      </c>
      <c r="B41" s="430" t="s">
        <v>424</v>
      </c>
      <c r="C41" s="237" t="s">
        <v>19</v>
      </c>
      <c r="D41" s="231">
        <v>0</v>
      </c>
      <c r="E41" s="237">
        <v>1</v>
      </c>
      <c r="F41" s="237"/>
      <c r="G41" s="321">
        <f>IF(C41="New",('Dtl SE_ModuleDoco'!$D41*DetailedEstWeightedValues!$B$45)+('Dtl SE_ModuleDoco'!$E41*DetailedEstWeightedValues!$C$45)+('Dtl SE_ModuleDoco'!$F41*DetailedEstWeightedValues!$D$45),('Dtl SE_ModuleDoco'!$D41*DetailedEstWeightedValues!$F$45)+('Dtl SE_ModuleDoco'!$E41*DetailedEstWeightedValues!$G$45)+('Dtl SE_ModuleDoco'!$F41*DetailedEstWeightedValues!$H$45))</f>
        <v>9.5</v>
      </c>
      <c r="H41" s="321">
        <f>VLOOKUP($A41,DetailedEstWeightedValues!$A$112:$B$115,2,FALSE) * G41</f>
        <v>9.5</v>
      </c>
      <c r="I41" s="234">
        <v>0</v>
      </c>
      <c r="J41" s="321">
        <f t="shared" ref="J41:J42" si="7">SUM(H41:I41)</f>
        <v>9.5</v>
      </c>
      <c r="L41" s="237" t="s">
        <v>420</v>
      </c>
    </row>
    <row r="42" spans="1:17" s="308" customFormat="1" ht="20.25" customHeight="1">
      <c r="A42" s="231" t="s">
        <v>69</v>
      </c>
      <c r="B42" s="231"/>
      <c r="C42" s="231" t="s">
        <v>0</v>
      </c>
      <c r="D42" s="231">
        <v>0</v>
      </c>
      <c r="E42" s="231">
        <v>0</v>
      </c>
      <c r="F42" s="231">
        <v>0</v>
      </c>
      <c r="G42" s="160">
        <f>IF(C42="New",('Dtl SE_ModuleDoco'!$D42*DetailedEstWeightedValues!$B$45)+('Dtl SE_ModuleDoco'!$E42*DetailedEstWeightedValues!$C$45)+('Dtl SE_ModuleDoco'!$F42*DetailedEstWeightedValues!$D$45),('Dtl SE_ModuleDoco'!$D42*DetailedEstWeightedValues!$F$45)+('Dtl SE_ModuleDoco'!$E42*DetailedEstWeightedValues!$G$45)+('Dtl SE_ModuleDoco'!$F42*DetailedEstWeightedValues!$H$45))</f>
        <v>0</v>
      </c>
      <c r="H42" s="160">
        <f>VLOOKUP($A42,DetailedEstWeightedValues!$A$112:$B$115,2,FALSE) * G42</f>
        <v>0</v>
      </c>
      <c r="I42" s="234">
        <v>0</v>
      </c>
      <c r="J42" s="160">
        <f t="shared" si="7"/>
        <v>0</v>
      </c>
      <c r="L42" s="231"/>
    </row>
    <row r="43" spans="1:17" ht="20.25" customHeight="1">
      <c r="A43" s="161"/>
      <c r="B43" s="161"/>
      <c r="C43" s="161"/>
      <c r="D43" s="162"/>
      <c r="E43" s="162"/>
      <c r="F43" s="162"/>
      <c r="G43" s="163"/>
      <c r="H43" s="163"/>
      <c r="I43" s="164"/>
      <c r="J43" s="165"/>
      <c r="L43" s="166"/>
    </row>
    <row r="44" spans="1:17" ht="20.25" customHeight="1">
      <c r="A44" s="167"/>
      <c r="B44" s="168"/>
      <c r="C44" s="168"/>
      <c r="D44" s="169"/>
      <c r="E44" s="169"/>
      <c r="F44" s="169"/>
      <c r="G44" s="170"/>
      <c r="H44" s="170"/>
      <c r="I44" s="171"/>
      <c r="J44" s="172"/>
      <c r="L44" s="166"/>
    </row>
    <row r="45" spans="1:17" ht="56.25" customHeight="1">
      <c r="A45" s="482" t="s">
        <v>278</v>
      </c>
      <c r="B45" s="470"/>
      <c r="C45" s="470"/>
      <c r="D45" s="173">
        <f>SUM(D46:D48)</f>
        <v>0</v>
      </c>
      <c r="E45" s="173">
        <f t="shared" ref="E45:J45" si="8">SUM(E46:E48)</f>
        <v>0</v>
      </c>
      <c r="F45" s="173">
        <f t="shared" si="8"/>
        <v>0</v>
      </c>
      <c r="G45" s="173">
        <f t="shared" si="8"/>
        <v>0</v>
      </c>
      <c r="H45" s="173">
        <f t="shared" si="8"/>
        <v>0</v>
      </c>
      <c r="I45" s="173">
        <f t="shared" si="8"/>
        <v>0</v>
      </c>
      <c r="J45" s="323">
        <f t="shared" si="8"/>
        <v>0</v>
      </c>
      <c r="L45" s="112"/>
    </row>
    <row r="46" spans="1:17" s="308" customFormat="1" ht="20.25" customHeight="1">
      <c r="A46" s="237" t="s">
        <v>116</v>
      </c>
      <c r="B46" s="237"/>
      <c r="C46" s="237" t="s">
        <v>0</v>
      </c>
      <c r="D46" s="231">
        <v>0</v>
      </c>
      <c r="E46" s="237">
        <v>0</v>
      </c>
      <c r="F46" s="237">
        <v>0</v>
      </c>
      <c r="G46" s="321">
        <f>IF(C46="New",('Dtl SE_ModuleDoco'!$D46*DetailedEstWeightedValues!$B$52)+('Dtl SE_ModuleDoco'!$E46*DetailedEstWeightedValues!$C$52)+('Dtl SE_ModuleDoco'!$F46*DetailedEstWeightedValues!$D$52),('Dtl SE_ModuleDoco'!$D46*DetailedEstWeightedValues!$F$52)+('Dtl SE_ModuleDoco'!$E46*DetailedEstWeightedValues!$G$52)+('Dtl SE_ModuleDoco'!$F46*DetailedEstWeightedValues!$H$52))</f>
        <v>0</v>
      </c>
      <c r="H46" s="321">
        <f>VLOOKUP($A46,DetailedEstWeightedValues!$A$112:$B$115,2,FALSE) * G46</f>
        <v>0</v>
      </c>
      <c r="I46" s="234">
        <v>0</v>
      </c>
      <c r="J46" s="321">
        <f t="shared" ref="J46:J47" si="9">SUM(H46:I46)</f>
        <v>0</v>
      </c>
      <c r="L46" s="237"/>
    </row>
    <row r="47" spans="1:17" s="308" customFormat="1" ht="20.25" customHeight="1">
      <c r="A47" s="231" t="s">
        <v>69</v>
      </c>
      <c r="B47" s="231"/>
      <c r="C47" s="231" t="s">
        <v>0</v>
      </c>
      <c r="D47" s="231">
        <v>0</v>
      </c>
      <c r="E47" s="231">
        <v>0</v>
      </c>
      <c r="F47" s="231">
        <v>0</v>
      </c>
      <c r="G47" s="160">
        <f>IF(C47="New",('Dtl SE_ModuleDoco'!$D47*DetailedEstWeightedValues!$B$52)+('Dtl SE_ModuleDoco'!$E47*DetailedEstWeightedValues!$C$52)+('Dtl SE_ModuleDoco'!$F47*DetailedEstWeightedValues!$D$52),('Dtl SE_ModuleDoco'!$D47*DetailedEstWeightedValues!$F$52)+('Dtl SE_ModuleDoco'!$E47*DetailedEstWeightedValues!$G$52)+('Dtl SE_ModuleDoco'!$F47*DetailedEstWeightedValues!$H$52))</f>
        <v>0</v>
      </c>
      <c r="H47" s="160">
        <f>VLOOKUP($A47,DetailedEstWeightedValues!$A$112:$B$115,2,FALSE) * G47</f>
        <v>0</v>
      </c>
      <c r="I47" s="234">
        <v>0</v>
      </c>
      <c r="J47" s="160">
        <f t="shared" si="9"/>
        <v>0</v>
      </c>
      <c r="L47" s="231"/>
    </row>
    <row r="48" spans="1:17" s="308" customFormat="1" ht="20.25" customHeight="1">
      <c r="A48" s="161"/>
      <c r="B48" s="161"/>
      <c r="C48" s="161"/>
      <c r="D48" s="162"/>
      <c r="E48" s="162"/>
      <c r="F48" s="162"/>
      <c r="G48" s="164"/>
      <c r="H48" s="164"/>
      <c r="I48" s="164"/>
      <c r="J48" s="309"/>
    </row>
    <row r="49" spans="1:12" ht="20.25" customHeight="1">
      <c r="A49" s="167"/>
      <c r="B49" s="168"/>
      <c r="C49" s="168"/>
      <c r="D49" s="169"/>
      <c r="E49" s="169"/>
      <c r="F49" s="169"/>
      <c r="G49" s="170"/>
      <c r="H49" s="170"/>
      <c r="I49" s="171"/>
      <c r="J49" s="172"/>
      <c r="L49" s="166"/>
    </row>
    <row r="50" spans="1:12" ht="20.25" customHeight="1">
      <c r="A50" s="469" t="s">
        <v>219</v>
      </c>
      <c r="B50" s="470"/>
      <c r="C50" s="470"/>
      <c r="D50" s="173">
        <f t="shared" ref="D50:F50" si="10">SUM(D51:D54)</f>
        <v>0</v>
      </c>
      <c r="E50" s="173">
        <f t="shared" si="10"/>
        <v>0</v>
      </c>
      <c r="F50" s="173">
        <f t="shared" si="10"/>
        <v>0</v>
      </c>
      <c r="G50" s="173">
        <f>SUM(G51:G54)</f>
        <v>0</v>
      </c>
      <c r="H50" s="173">
        <f>SUM(H51:H54)</f>
        <v>0</v>
      </c>
      <c r="I50" s="173">
        <f>SUM(I51:I54)</f>
        <v>0</v>
      </c>
      <c r="J50" s="323">
        <f>SUM(J51:J54)</f>
        <v>0</v>
      </c>
      <c r="L50" s="112"/>
    </row>
    <row r="51" spans="1:12" s="308" customFormat="1" ht="20.25" customHeight="1">
      <c r="A51" s="237" t="s">
        <v>116</v>
      </c>
      <c r="B51" s="237"/>
      <c r="C51" s="237" t="s">
        <v>0</v>
      </c>
      <c r="D51" s="237">
        <v>0</v>
      </c>
      <c r="E51" s="237">
        <v>0</v>
      </c>
      <c r="F51" s="237"/>
      <c r="G51" s="321">
        <f>IF(C51="New",('Dtl SE_ModuleDoco'!$D51*DetailedEstWeightedValues!$B$61)+('Dtl SE_ModuleDoco'!$E51*DetailedEstWeightedValues!$B$61)+('Dtl SE_ModuleDoco'!$F51*DetailedEstWeightedValues!$B$61),('Dtl SE_ModuleDoco'!$D51*DetailedEstWeightedValues!$B$61)+('Dtl SE_ModuleDoco'!$E51*DetailedEstWeightedValues!$B$61)+('Dtl SE_ModuleDoco'!$F51*DetailedEstWeightedValues!$B$61))</f>
        <v>0</v>
      </c>
      <c r="H51" s="321">
        <f>VLOOKUP($A51,DetailedEstWeightedValues!$A$112:$B$115,2,FALSE) * G51</f>
        <v>0</v>
      </c>
      <c r="I51" s="234">
        <v>0</v>
      </c>
      <c r="J51" s="321">
        <f t="shared" ref="J51:J53" si="11">SUM(H51:I51)</f>
        <v>0</v>
      </c>
      <c r="L51" s="237"/>
    </row>
    <row r="52" spans="1:12" s="308" customFormat="1" ht="20.25" customHeight="1">
      <c r="A52" s="237" t="s">
        <v>69</v>
      </c>
      <c r="B52" s="237"/>
      <c r="C52" s="237" t="s">
        <v>19</v>
      </c>
      <c r="D52" s="237">
        <v>0</v>
      </c>
      <c r="E52" s="237">
        <v>0</v>
      </c>
      <c r="F52" s="237">
        <v>0</v>
      </c>
      <c r="G52" s="320">
        <f>IF(C52="New",('Dtl SE_ModuleDoco'!$D52*DetailedEstWeightedValues!$B$61)+('Dtl SE_ModuleDoco'!$E52*DetailedEstWeightedValues!$B$61)+('Dtl SE_ModuleDoco'!$F52*DetailedEstWeightedValues!$B$61),('Dtl SE_ModuleDoco'!$D52*DetailedEstWeightedValues!$B$61)+('Dtl SE_ModuleDoco'!$E52*DetailedEstWeightedValues!$B$61)+('Dtl SE_ModuleDoco'!$F52*DetailedEstWeightedValues!$B$61))</f>
        <v>0</v>
      </c>
      <c r="H52" s="320">
        <f>VLOOKUP($A52,DetailedEstWeightedValues!$A$112:$B$115,2,FALSE) * G52</f>
        <v>0</v>
      </c>
      <c r="I52" s="234">
        <v>0</v>
      </c>
      <c r="J52" s="320">
        <f t="shared" si="11"/>
        <v>0</v>
      </c>
      <c r="L52" s="237"/>
    </row>
    <row r="53" spans="1:12" s="308" customFormat="1" ht="20.25" customHeight="1">
      <c r="A53" s="231" t="s">
        <v>216</v>
      </c>
      <c r="B53" s="231"/>
      <c r="C53" s="231" t="s">
        <v>19</v>
      </c>
      <c r="D53" s="231">
        <v>0</v>
      </c>
      <c r="E53" s="231">
        <v>0</v>
      </c>
      <c r="F53" s="231">
        <v>0</v>
      </c>
      <c r="G53" s="160">
        <f>IF(C53="New",('Dtl SE_ModuleDoco'!$D53*DetailedEstWeightedValues!$B$61)+('Dtl SE_ModuleDoco'!$E53*DetailedEstWeightedValues!$B$61)+('Dtl SE_ModuleDoco'!$F53*DetailedEstWeightedValues!$B$61),('Dtl SE_ModuleDoco'!$D53*DetailedEstWeightedValues!$B$61)+('Dtl SE_ModuleDoco'!$E53*DetailedEstWeightedValues!$B$61)+('Dtl SE_ModuleDoco'!$F53*DetailedEstWeightedValues!$B$61))</f>
        <v>0</v>
      </c>
      <c r="H53" s="160">
        <f>VLOOKUP($A53,DetailedEstWeightedValues!$A$112:$B$115,2,FALSE) * G53</f>
        <v>0</v>
      </c>
      <c r="I53" s="234">
        <v>0</v>
      </c>
      <c r="J53" s="160">
        <f t="shared" si="11"/>
        <v>0</v>
      </c>
      <c r="L53" s="231"/>
    </row>
    <row r="54" spans="1:12" s="308" customFormat="1" ht="20.25" customHeight="1">
      <c r="A54" s="161"/>
      <c r="B54" s="161"/>
      <c r="C54" s="161"/>
      <c r="D54" s="162"/>
      <c r="E54" s="162"/>
      <c r="F54" s="162"/>
      <c r="G54" s="164"/>
      <c r="H54" s="164"/>
      <c r="I54" s="164"/>
      <c r="J54" s="309"/>
      <c r="L54" s="166"/>
    </row>
    <row r="55" spans="1:12" ht="20.25" customHeight="1">
      <c r="A55" s="167"/>
      <c r="B55" s="168"/>
      <c r="C55" s="168"/>
      <c r="D55" s="169"/>
      <c r="E55" s="169"/>
      <c r="F55" s="169"/>
      <c r="G55" s="170"/>
      <c r="H55" s="170"/>
      <c r="I55" s="171"/>
      <c r="J55" s="172"/>
      <c r="L55" s="166"/>
    </row>
    <row r="56" spans="1:12" ht="20.25" customHeight="1">
      <c r="A56" s="469" t="s">
        <v>220</v>
      </c>
      <c r="B56" s="470"/>
      <c r="C56" s="470"/>
      <c r="D56" s="173">
        <f t="shared" ref="D56:F56" si="12">SUM(D57:D61)</f>
        <v>0</v>
      </c>
      <c r="E56" s="173">
        <f t="shared" si="12"/>
        <v>0</v>
      </c>
      <c r="F56" s="173">
        <f t="shared" si="12"/>
        <v>0</v>
      </c>
      <c r="G56" s="173">
        <f>SUM(G57:G61)</f>
        <v>0</v>
      </c>
      <c r="H56" s="173">
        <f>SUM(H57:H61)</f>
        <v>0</v>
      </c>
      <c r="I56" s="173">
        <f>SUM(I57:I61)</f>
        <v>0</v>
      </c>
      <c r="J56" s="323">
        <f>SUM(J57:J61)</f>
        <v>0</v>
      </c>
      <c r="L56" s="112"/>
    </row>
    <row r="57" spans="1:12" s="308" customFormat="1" ht="20.25" customHeight="1">
      <c r="A57" s="237" t="s">
        <v>67</v>
      </c>
      <c r="B57" s="237"/>
      <c r="C57" s="237" t="s">
        <v>0</v>
      </c>
      <c r="D57" s="237">
        <v>0</v>
      </c>
      <c r="E57" s="237">
        <v>0</v>
      </c>
      <c r="F57" s="237">
        <v>0</v>
      </c>
      <c r="G57" s="321">
        <f>IF(C57="New",('Dtl SE_ModuleDoco'!$D57*DetailedEstWeightedValues!$B$72)+('Dtl SE_ModuleDoco'!$E57*DetailedEstWeightedValues!$C$72)+('Dtl SE_ModuleDoco'!$F57*DetailedEstWeightedValues!$D$72),('Dtl SE_ModuleDoco'!$D57*DetailedEstWeightedValues!$F$72)+('Dtl SE_ModuleDoco'!$E57*DetailedEstWeightedValues!$G$72)+('Dtl SE_ModuleDoco'!$F57*DetailedEstWeightedValues!$H$72))</f>
        <v>0</v>
      </c>
      <c r="H57" s="321">
        <f>VLOOKUP($A57,DetailedEstWeightedValues!$A$112:$B$115,2,FALSE) * G57</f>
        <v>0</v>
      </c>
      <c r="I57" s="234">
        <v>0</v>
      </c>
      <c r="J57" s="321">
        <f t="shared" ref="J57:J60" si="13">SUM(H57:I57)</f>
        <v>0</v>
      </c>
      <c r="L57" s="237"/>
    </row>
    <row r="58" spans="1:12" s="308" customFormat="1" ht="20.25" customHeight="1">
      <c r="A58" s="237" t="s">
        <v>116</v>
      </c>
      <c r="B58" s="237"/>
      <c r="C58" s="237" t="s">
        <v>0</v>
      </c>
      <c r="D58" s="237">
        <v>0</v>
      </c>
      <c r="E58" s="237">
        <v>0</v>
      </c>
      <c r="F58" s="237">
        <v>0</v>
      </c>
      <c r="G58" s="320">
        <f>IF(C58="New",('Dtl SE_ModuleDoco'!$D58*DetailedEstWeightedValues!$B$72)+('Dtl SE_ModuleDoco'!$E58*DetailedEstWeightedValues!$C$72)+('Dtl SE_ModuleDoco'!$F58*DetailedEstWeightedValues!$D$72),('Dtl SE_ModuleDoco'!$D58*DetailedEstWeightedValues!$F$72)+('Dtl SE_ModuleDoco'!$E58*DetailedEstWeightedValues!$G$72)+('Dtl SE_ModuleDoco'!$F58*DetailedEstWeightedValues!$H$72))</f>
        <v>0</v>
      </c>
      <c r="H58" s="320">
        <f>VLOOKUP($A58,DetailedEstWeightedValues!$A$112:$B$115,2,FALSE) * G58</f>
        <v>0</v>
      </c>
      <c r="I58" s="234">
        <v>0</v>
      </c>
      <c r="J58" s="320">
        <f t="shared" si="13"/>
        <v>0</v>
      </c>
      <c r="L58" s="237"/>
    </row>
    <row r="59" spans="1:12" s="308" customFormat="1" ht="20.25" customHeight="1">
      <c r="A59" s="237" t="s">
        <v>216</v>
      </c>
      <c r="B59" s="237"/>
      <c r="C59" s="237" t="s">
        <v>0</v>
      </c>
      <c r="D59" s="237">
        <v>0</v>
      </c>
      <c r="E59" s="237">
        <v>0</v>
      </c>
      <c r="F59" s="237">
        <v>0</v>
      </c>
      <c r="G59" s="320">
        <f>IF(C59="New",('Dtl SE_ModuleDoco'!$D59*DetailedEstWeightedValues!$B$72)+('Dtl SE_ModuleDoco'!$E59*DetailedEstWeightedValues!$C$72)+('Dtl SE_ModuleDoco'!$F59*DetailedEstWeightedValues!$D$72),('Dtl SE_ModuleDoco'!$D59*DetailedEstWeightedValues!$F$72)+('Dtl SE_ModuleDoco'!$E59*DetailedEstWeightedValues!$G$72)+('Dtl SE_ModuleDoco'!$F59*DetailedEstWeightedValues!$H$72))</f>
        <v>0</v>
      </c>
      <c r="H59" s="320">
        <f>VLOOKUP($A59,DetailedEstWeightedValues!$A$112:$B$115,2,FALSE) * G59</f>
        <v>0</v>
      </c>
      <c r="I59" s="234">
        <v>0</v>
      </c>
      <c r="J59" s="320">
        <f t="shared" si="13"/>
        <v>0</v>
      </c>
      <c r="L59" s="237"/>
    </row>
    <row r="60" spans="1:12" s="308" customFormat="1" ht="20.25" customHeight="1">
      <c r="A60" s="231" t="s">
        <v>116</v>
      </c>
      <c r="B60" s="231"/>
      <c r="C60" s="231" t="s">
        <v>0</v>
      </c>
      <c r="D60" s="231">
        <v>0</v>
      </c>
      <c r="E60" s="231">
        <v>0</v>
      </c>
      <c r="F60" s="231">
        <v>0</v>
      </c>
      <c r="G60" s="160">
        <f>IF(C60="New",('Dtl SE_ModuleDoco'!$D60*DetailedEstWeightedValues!$B$72)+('Dtl SE_ModuleDoco'!$E60*DetailedEstWeightedValues!$C$72)+('Dtl SE_ModuleDoco'!$F60*DetailedEstWeightedValues!$D$72),('Dtl SE_ModuleDoco'!$D60*DetailedEstWeightedValues!$F$72)+('Dtl SE_ModuleDoco'!$E60*DetailedEstWeightedValues!$G$72)+('Dtl SE_ModuleDoco'!$F60*DetailedEstWeightedValues!$H$72))</f>
        <v>0</v>
      </c>
      <c r="H60" s="160">
        <f>VLOOKUP($A60,DetailedEstWeightedValues!$A$112:$B$115,2,FALSE) * G60</f>
        <v>0</v>
      </c>
      <c r="I60" s="234">
        <v>0</v>
      </c>
      <c r="J60" s="160">
        <f t="shared" si="13"/>
        <v>0</v>
      </c>
      <c r="L60" s="231"/>
    </row>
    <row r="61" spans="1:12" s="308" customFormat="1" ht="20.25" customHeight="1">
      <c r="A61" s="161"/>
      <c r="B61" s="161"/>
      <c r="C61" s="161"/>
      <c r="D61" s="162"/>
      <c r="E61" s="162"/>
      <c r="F61" s="162"/>
      <c r="G61" s="164"/>
      <c r="H61" s="164"/>
      <c r="I61" s="164"/>
      <c r="J61" s="309"/>
      <c r="L61" s="166"/>
    </row>
    <row r="62" spans="1:12" ht="20.25" customHeight="1">
      <c r="A62" s="167"/>
      <c r="B62" s="168"/>
      <c r="C62" s="168"/>
      <c r="D62" s="169"/>
      <c r="E62" s="169"/>
      <c r="F62" s="169"/>
      <c r="G62" s="170"/>
      <c r="H62" s="170"/>
      <c r="I62" s="171"/>
      <c r="J62" s="172"/>
      <c r="L62" s="166"/>
    </row>
    <row r="63" spans="1:12" ht="20.25" customHeight="1">
      <c r="A63" s="480" t="s">
        <v>179</v>
      </c>
      <c r="B63" s="481"/>
      <c r="C63" s="481"/>
      <c r="D63" s="173">
        <f t="shared" ref="D63:F63" si="14">SUM(D64:D66)</f>
        <v>0</v>
      </c>
      <c r="E63" s="173">
        <f t="shared" si="14"/>
        <v>0</v>
      </c>
      <c r="F63" s="173">
        <f t="shared" si="14"/>
        <v>0</v>
      </c>
      <c r="G63" s="173">
        <f>SUM(G64:G66)</f>
        <v>0</v>
      </c>
      <c r="H63" s="173">
        <f>SUM(H64:H66)</f>
        <v>0</v>
      </c>
      <c r="I63" s="173">
        <f>SUM(I64:I66)</f>
        <v>0</v>
      </c>
      <c r="J63" s="323">
        <f>SUM(J64:J66)</f>
        <v>0</v>
      </c>
      <c r="L63" s="112"/>
    </row>
    <row r="64" spans="1:12" s="308" customFormat="1" ht="20.25" customHeight="1">
      <c r="A64" s="237" t="s">
        <v>116</v>
      </c>
      <c r="B64" s="237"/>
      <c r="C64" s="237" t="s">
        <v>0</v>
      </c>
      <c r="D64" s="231">
        <v>0</v>
      </c>
      <c r="E64" s="237">
        <v>0</v>
      </c>
      <c r="F64" s="231">
        <v>0</v>
      </c>
      <c r="G64" s="160">
        <f>IF(C64="New",('Dtl SE_ModuleDoco'!$D64*DetailedEstWeightedValues!$B$83)+('Dtl SE_ModuleDoco'!$E64*DetailedEstWeightedValues!$C$83)+('Dtl SE_ModuleDoco'!$F64*DetailedEstWeightedValues!$D$83),('Dtl SE_ModuleDoco'!$D64*DetailedEstWeightedValues!$F$83)+('Dtl SE_ModuleDoco'!$E64*DetailedEstWeightedValues!$G$83)+('Dtl SE_ModuleDoco'!$F64*DetailedEstWeightedValues!$H$83))</f>
        <v>0</v>
      </c>
      <c r="H64" s="160">
        <f>VLOOKUP($A64,DetailedEstWeightedValues!$A$112:$B$115,2,FALSE) * G64</f>
        <v>0</v>
      </c>
      <c r="I64" s="234">
        <v>0</v>
      </c>
      <c r="J64" s="321">
        <f t="shared" ref="J64:J65" si="15">SUM(H64:I64)</f>
        <v>0</v>
      </c>
      <c r="L64" s="237"/>
    </row>
    <row r="65" spans="1:12" s="308" customFormat="1" ht="20.25" customHeight="1">
      <c r="A65" s="231" t="s">
        <v>69</v>
      </c>
      <c r="B65" s="231"/>
      <c r="C65" s="231" t="s">
        <v>19</v>
      </c>
      <c r="D65" s="231">
        <v>0</v>
      </c>
      <c r="E65" s="231">
        <v>0</v>
      </c>
      <c r="F65" s="231">
        <v>0</v>
      </c>
      <c r="G65" s="160">
        <f>IF(C65="New",('Dtl SE_ModuleDoco'!$D65*DetailedEstWeightedValues!$B$83)+('Dtl SE_ModuleDoco'!$E65*DetailedEstWeightedValues!$C$83)+('Dtl SE_ModuleDoco'!$F65*DetailedEstWeightedValues!$D$83),('Dtl SE_ModuleDoco'!$D65*DetailedEstWeightedValues!$F$83)+('Dtl SE_ModuleDoco'!$E65*DetailedEstWeightedValues!$G$83)+('Dtl SE_ModuleDoco'!$F65*DetailedEstWeightedValues!$H$83))</f>
        <v>0</v>
      </c>
      <c r="H65" s="160">
        <f>VLOOKUP($A65,DetailedEstWeightedValues!$A$112:$B$115,2,FALSE) * G65</f>
        <v>0</v>
      </c>
      <c r="I65" s="234">
        <v>0</v>
      </c>
      <c r="J65" s="160">
        <f t="shared" si="15"/>
        <v>0</v>
      </c>
      <c r="L65" s="231"/>
    </row>
    <row r="66" spans="1:12" s="308" customFormat="1" ht="20.25" customHeight="1">
      <c r="A66" s="161"/>
      <c r="B66" s="161"/>
      <c r="C66" s="161"/>
      <c r="D66" s="162"/>
      <c r="E66" s="162"/>
      <c r="F66" s="162"/>
      <c r="G66" s="164"/>
      <c r="H66" s="164"/>
      <c r="I66" s="164"/>
      <c r="J66" s="309"/>
      <c r="L66" s="166"/>
    </row>
    <row r="67" spans="1:12" ht="20.25" customHeight="1">
      <c r="A67" s="167"/>
      <c r="B67" s="168"/>
      <c r="C67" s="168"/>
      <c r="D67" s="169"/>
      <c r="E67" s="169"/>
      <c r="F67" s="169"/>
      <c r="G67" s="170"/>
      <c r="H67" s="170"/>
      <c r="I67" s="171"/>
      <c r="J67" s="172"/>
      <c r="L67" s="166"/>
    </row>
    <row r="68" spans="1:12" ht="20.25" customHeight="1">
      <c r="A68" s="480" t="s">
        <v>221</v>
      </c>
      <c r="B68" s="481"/>
      <c r="C68" s="481"/>
      <c r="D68" s="173">
        <f t="shared" ref="D68:J68" si="16">SUM(D69:D71)</f>
        <v>0</v>
      </c>
      <c r="E68" s="173">
        <f t="shared" si="16"/>
        <v>0</v>
      </c>
      <c r="F68" s="173">
        <f t="shared" si="16"/>
        <v>0</v>
      </c>
      <c r="G68" s="173">
        <f t="shared" si="16"/>
        <v>0</v>
      </c>
      <c r="H68" s="173">
        <f t="shared" si="16"/>
        <v>0</v>
      </c>
      <c r="I68" s="173">
        <f t="shared" si="16"/>
        <v>0</v>
      </c>
      <c r="J68" s="323">
        <f t="shared" si="16"/>
        <v>0</v>
      </c>
      <c r="L68" s="112"/>
    </row>
    <row r="69" spans="1:12" s="308" customFormat="1" ht="20.25" customHeight="1">
      <c r="A69" s="237" t="s">
        <v>67</v>
      </c>
      <c r="B69" s="237"/>
      <c r="C69" s="237" t="s">
        <v>0</v>
      </c>
      <c r="D69" s="231">
        <v>0</v>
      </c>
      <c r="E69" s="231">
        <v>0</v>
      </c>
      <c r="F69" s="237">
        <v>0</v>
      </c>
      <c r="G69" s="160">
        <f>IF(C69="New",('Dtl SE_ModuleDoco'!$D69*DetailedEstWeightedValues!$B$94)+('Dtl SE_ModuleDoco'!$E69*DetailedEstWeightedValues!$C$94)+('Dtl SE_ModuleDoco'!$F69*DetailedEstWeightedValues!$D$94),('Dtl SE_ModuleDoco'!$D69*DetailedEstWeightedValues!$F$94)+('Dtl SE_ModuleDoco'!$E69*DetailedEstWeightedValues!$G$94)+('Dtl SE_ModuleDoco'!$F69*DetailedEstWeightedValues!$H$94))</f>
        <v>0</v>
      </c>
      <c r="H69" s="160">
        <f>VLOOKUP($A69,DetailedEstWeightedValues!$A$112:$B$115,2,FALSE) * G69</f>
        <v>0</v>
      </c>
      <c r="I69" s="234">
        <v>0</v>
      </c>
      <c r="J69" s="321">
        <f t="shared" ref="J69:J70" si="17">SUM(H69:I69)</f>
        <v>0</v>
      </c>
      <c r="L69" s="237"/>
    </row>
    <row r="70" spans="1:12" s="308" customFormat="1" ht="20.25" customHeight="1">
      <c r="A70" s="231" t="s">
        <v>69</v>
      </c>
      <c r="B70" s="231"/>
      <c r="C70" s="231" t="s">
        <v>19</v>
      </c>
      <c r="D70" s="231">
        <v>0</v>
      </c>
      <c r="E70" s="231">
        <v>0</v>
      </c>
      <c r="F70" s="231">
        <v>0</v>
      </c>
      <c r="G70" s="160">
        <f>IF(C70="New",('Dtl SE_ModuleDoco'!$D70*DetailedEstWeightedValues!$B$94)+('Dtl SE_ModuleDoco'!$E70*DetailedEstWeightedValues!$C$94)+('Dtl SE_ModuleDoco'!$F70*DetailedEstWeightedValues!$D$94),('Dtl SE_ModuleDoco'!$D70*DetailedEstWeightedValues!$F$94)+('Dtl SE_ModuleDoco'!$E70*DetailedEstWeightedValues!$G$94)+('Dtl SE_ModuleDoco'!$F70*DetailedEstWeightedValues!$H$94))</f>
        <v>0</v>
      </c>
      <c r="H70" s="160">
        <f>VLOOKUP($A70,DetailedEstWeightedValues!$A$112:$B$115,2,FALSE) * G70</f>
        <v>0</v>
      </c>
      <c r="I70" s="234">
        <v>0</v>
      </c>
      <c r="J70" s="160">
        <f t="shared" si="17"/>
        <v>0</v>
      </c>
      <c r="L70" s="237"/>
    </row>
    <row r="71" spans="1:12" s="308" customFormat="1" ht="20.25" customHeight="1">
      <c r="A71" s="161"/>
      <c r="B71" s="161"/>
      <c r="C71" s="161"/>
      <c r="D71" s="162"/>
      <c r="E71" s="162"/>
      <c r="F71" s="162"/>
      <c r="G71" s="164"/>
      <c r="H71" s="164"/>
      <c r="I71" s="164"/>
      <c r="J71" s="309"/>
      <c r="L71" s="166"/>
    </row>
    <row r="72" spans="1:12" ht="20.25" customHeight="1">
      <c r="A72" s="167"/>
      <c r="B72" s="168"/>
      <c r="C72" s="168"/>
      <c r="D72" s="169"/>
      <c r="E72" s="169"/>
      <c r="F72" s="169"/>
      <c r="G72" s="170"/>
      <c r="H72" s="170"/>
      <c r="I72" s="171"/>
      <c r="J72" s="172"/>
      <c r="L72" s="166"/>
    </row>
    <row r="73" spans="1:12" ht="20.25" customHeight="1">
      <c r="A73" s="480" t="s">
        <v>230</v>
      </c>
      <c r="B73" s="481"/>
      <c r="C73" s="481"/>
      <c r="D73" s="173">
        <f t="shared" ref="D73:F73" si="18">SUM(D74:D76)</f>
        <v>0</v>
      </c>
      <c r="E73" s="173">
        <f t="shared" si="18"/>
        <v>0</v>
      </c>
      <c r="F73" s="173">
        <f t="shared" si="18"/>
        <v>0</v>
      </c>
      <c r="G73" s="173">
        <f>SUM(G74:G76)</f>
        <v>0</v>
      </c>
      <c r="H73" s="173">
        <f>SUM(H74:H76)</f>
        <v>0</v>
      </c>
      <c r="I73" s="173">
        <f>SUM(I74:I76)</f>
        <v>0</v>
      </c>
      <c r="J73" s="323">
        <f>SUM(J74:J76)</f>
        <v>0</v>
      </c>
      <c r="L73" s="112"/>
    </row>
    <row r="74" spans="1:12" s="308" customFormat="1" ht="20.25" customHeight="1">
      <c r="A74" s="237" t="s">
        <v>116</v>
      </c>
      <c r="B74" s="237"/>
      <c r="C74" s="237" t="s">
        <v>19</v>
      </c>
      <c r="D74" s="231">
        <v>0</v>
      </c>
      <c r="E74" s="237">
        <v>0</v>
      </c>
      <c r="F74" s="237">
        <v>0</v>
      </c>
      <c r="G74" s="160">
        <f>IF(C74="New",('Dtl SE_ModuleDoco'!$D74*DetailedEstWeightedValues!$B$101)+('Dtl SE_ModuleDoco'!$E74*DetailedEstWeightedValues!$C$101)+('Dtl SE_ModuleDoco'!$F74*DetailedEstWeightedValues!$D$101),('Dtl SE_ModuleDoco'!$D74*DetailedEstWeightedValues!$F$101)+('Dtl SE_ModuleDoco'!$E74*DetailedEstWeightedValues!$G$101)+('Dtl SE_ModuleDoco'!$F74*DetailedEstWeightedValues!$H$101))</f>
        <v>0</v>
      </c>
      <c r="H74" s="160">
        <f>VLOOKUP($A74,DetailedEstWeightedValues!$A$112:$B$115,2,FALSE) * G74</f>
        <v>0</v>
      </c>
      <c r="I74" s="234">
        <v>0</v>
      </c>
      <c r="J74" s="321">
        <f t="shared" ref="J74:J75" si="19">SUM(H74:I74)</f>
        <v>0</v>
      </c>
      <c r="L74" s="237"/>
    </row>
    <row r="75" spans="1:12" s="308" customFormat="1" ht="20.25" customHeight="1">
      <c r="A75" s="231" t="s">
        <v>69</v>
      </c>
      <c r="B75" s="231"/>
      <c r="C75" s="231" t="s">
        <v>19</v>
      </c>
      <c r="D75" s="231">
        <v>0</v>
      </c>
      <c r="E75" s="231">
        <v>0</v>
      </c>
      <c r="F75" s="231">
        <v>0</v>
      </c>
      <c r="G75" s="160">
        <f>IF(C75="New",('Dtl SE_ModuleDoco'!$D75*DetailedEstWeightedValues!$B$101)+('Dtl SE_ModuleDoco'!$E75*DetailedEstWeightedValues!$C$101)+('Dtl SE_ModuleDoco'!$F75*DetailedEstWeightedValues!$D$101),('Dtl SE_ModuleDoco'!$D75*DetailedEstWeightedValues!$F$101)+('Dtl SE_ModuleDoco'!$E75*DetailedEstWeightedValues!$G$101)+('Dtl SE_ModuleDoco'!$F75*DetailedEstWeightedValues!$H$101))</f>
        <v>0</v>
      </c>
      <c r="H75" s="160">
        <f>VLOOKUP($A75,DetailedEstWeightedValues!$A$112:$B$115,2,FALSE) * G75</f>
        <v>0</v>
      </c>
      <c r="I75" s="234">
        <v>0</v>
      </c>
      <c r="J75" s="160">
        <f t="shared" si="19"/>
        <v>0</v>
      </c>
      <c r="L75" s="231"/>
    </row>
    <row r="76" spans="1:12" s="308" customFormat="1" ht="20.25" customHeight="1">
      <c r="A76" s="161"/>
      <c r="B76" s="161"/>
      <c r="C76" s="161"/>
      <c r="D76" s="162"/>
      <c r="E76" s="162"/>
      <c r="F76" s="162"/>
      <c r="G76" s="164"/>
      <c r="H76" s="164"/>
      <c r="I76" s="164"/>
      <c r="J76" s="309"/>
      <c r="L76" s="166"/>
    </row>
    <row r="77" spans="1:12" ht="20.25" customHeight="1">
      <c r="A77" s="167"/>
      <c r="B77" s="168"/>
      <c r="C77" s="168"/>
      <c r="D77" s="169"/>
      <c r="E77" s="169"/>
      <c r="F77" s="169"/>
      <c r="G77" s="170"/>
      <c r="H77" s="170"/>
      <c r="I77" s="171"/>
      <c r="J77" s="172"/>
      <c r="L77" s="166"/>
    </row>
    <row r="78" spans="1:12" ht="20.25" customHeight="1">
      <c r="A78" s="480" t="s">
        <v>222</v>
      </c>
      <c r="B78" s="481"/>
      <c r="C78" s="481"/>
      <c r="D78" s="173">
        <f t="shared" ref="D78:F78" si="20">SUM(D79:D82)</f>
        <v>0</v>
      </c>
      <c r="E78" s="173">
        <f t="shared" si="20"/>
        <v>0</v>
      </c>
      <c r="F78" s="173">
        <f t="shared" si="20"/>
        <v>0</v>
      </c>
      <c r="G78" s="173">
        <f>SUM(G79:G82)</f>
        <v>0</v>
      </c>
      <c r="H78" s="173">
        <f>SUM(H79:H82)</f>
        <v>0</v>
      </c>
      <c r="I78" s="173">
        <f>SUM(I79:I82)</f>
        <v>0</v>
      </c>
      <c r="J78" s="323">
        <f>SUM(J79:J82)</f>
        <v>0</v>
      </c>
      <c r="L78" s="112"/>
    </row>
    <row r="79" spans="1:12" s="308" customFormat="1" ht="20.25" customHeight="1">
      <c r="A79" s="237" t="s">
        <v>116</v>
      </c>
      <c r="B79" s="237"/>
      <c r="C79" s="237" t="s">
        <v>0</v>
      </c>
      <c r="D79" s="237">
        <v>0</v>
      </c>
      <c r="E79" s="237">
        <v>0</v>
      </c>
      <c r="F79" s="237">
        <v>0</v>
      </c>
      <c r="G79" s="321">
        <f>IF(C79="New",('Dtl SE_ModuleDoco'!$D79*DetailedEstWeightedValues!$B$109)+('Dtl SE_ModuleDoco'!$E79*DetailedEstWeightedValues!$C$109)+('Dtl SE_ModuleDoco'!$F79*DetailedEstWeightedValues!$D$109),('Dtl SE_ModuleDoco'!$D79*DetailedEstWeightedValues!$F$109)+('Dtl SE_ModuleDoco'!$E79*DetailedEstWeightedValues!$G$109)+('Dtl SE_ModuleDoco'!$F79*DetailedEstWeightedValues!$H$109))</f>
        <v>0</v>
      </c>
      <c r="H79" s="321">
        <f>VLOOKUP($A79,DetailedEstWeightedValues!$A$112:$B$115,2,FALSE) * G79</f>
        <v>0</v>
      </c>
      <c r="I79" s="234">
        <v>0</v>
      </c>
      <c r="J79" s="321">
        <f t="shared" ref="J79:J81" si="21">SUM(H79:I79)</f>
        <v>0</v>
      </c>
      <c r="L79" s="237"/>
    </row>
    <row r="80" spans="1:12" s="308" customFormat="1" ht="20.25" customHeight="1">
      <c r="A80" s="237" t="s">
        <v>69</v>
      </c>
      <c r="B80" s="237"/>
      <c r="C80" s="237" t="s">
        <v>19</v>
      </c>
      <c r="D80" s="237">
        <v>0</v>
      </c>
      <c r="E80" s="237">
        <v>0</v>
      </c>
      <c r="F80" s="237">
        <v>0</v>
      </c>
      <c r="G80" s="320">
        <f>IF(C80="New",('Dtl SE_ModuleDoco'!$D80*DetailedEstWeightedValues!$B$109)+('Dtl SE_ModuleDoco'!$E80*DetailedEstWeightedValues!$C$109)+('Dtl SE_ModuleDoco'!$F80*DetailedEstWeightedValues!$D$109),('Dtl SE_ModuleDoco'!$D80*DetailedEstWeightedValues!$F$109)+('Dtl SE_ModuleDoco'!$E80*DetailedEstWeightedValues!$G$109)+('Dtl SE_ModuleDoco'!$F80*DetailedEstWeightedValues!$H$109))</f>
        <v>0</v>
      </c>
      <c r="H80" s="320">
        <f>VLOOKUP($A80,DetailedEstWeightedValues!$A$112:$B$115,2,FALSE) * G80</f>
        <v>0</v>
      </c>
      <c r="I80" s="234">
        <v>0</v>
      </c>
      <c r="J80" s="320">
        <f t="shared" si="21"/>
        <v>0</v>
      </c>
      <c r="L80" s="237"/>
    </row>
    <row r="81" spans="1:12" s="308" customFormat="1" ht="20.25" customHeight="1">
      <c r="A81" s="231" t="s">
        <v>69</v>
      </c>
      <c r="B81" s="231"/>
      <c r="C81" s="231" t="s">
        <v>19</v>
      </c>
      <c r="D81" s="231">
        <v>0</v>
      </c>
      <c r="E81" s="231">
        <v>0</v>
      </c>
      <c r="F81" s="231">
        <v>0</v>
      </c>
      <c r="G81" s="160">
        <f>IF(C81="New",('Dtl SE_ModuleDoco'!$D81*DetailedEstWeightedValues!$B$109)+('Dtl SE_ModuleDoco'!$E81*DetailedEstWeightedValues!$C$109)+('Dtl SE_ModuleDoco'!$F81*DetailedEstWeightedValues!$D$109),('Dtl SE_ModuleDoco'!$D81*DetailedEstWeightedValues!$F$109)+('Dtl SE_ModuleDoco'!$E81*DetailedEstWeightedValues!$G$109)+('Dtl SE_ModuleDoco'!$F81*DetailedEstWeightedValues!$H$109))</f>
        <v>0</v>
      </c>
      <c r="H81" s="160">
        <f>VLOOKUP($A81,DetailedEstWeightedValues!$A$112:$B$115,2,FALSE) * G81</f>
        <v>0</v>
      </c>
      <c r="I81" s="234">
        <v>0</v>
      </c>
      <c r="J81" s="160">
        <f t="shared" si="21"/>
        <v>0</v>
      </c>
      <c r="L81" s="231"/>
    </row>
    <row r="82" spans="1:12" s="308" customFormat="1" ht="20.25" customHeight="1">
      <c r="A82" s="161"/>
      <c r="B82" s="161"/>
      <c r="C82" s="161"/>
      <c r="D82" s="162"/>
      <c r="E82" s="162"/>
      <c r="F82" s="162"/>
      <c r="G82" s="164"/>
      <c r="H82" s="164"/>
      <c r="I82" s="164"/>
      <c r="J82" s="309"/>
      <c r="L82" s="166"/>
    </row>
    <row r="83" spans="1:12" ht="20.25" customHeight="1">
      <c r="A83" s="161"/>
      <c r="B83" s="161"/>
      <c r="C83" s="161"/>
      <c r="D83" s="162"/>
      <c r="E83" s="162"/>
      <c r="F83" s="162"/>
      <c r="G83" s="163"/>
      <c r="H83" s="163"/>
      <c r="I83" s="164"/>
      <c r="J83" s="165"/>
      <c r="L83" s="166"/>
    </row>
    <row r="84" spans="1:12" ht="20.25" customHeight="1">
      <c r="A84" s="161"/>
      <c r="B84" s="161"/>
      <c r="C84" s="161"/>
      <c r="D84" s="162"/>
      <c r="E84" s="162"/>
      <c r="F84" s="162"/>
      <c r="G84" s="163"/>
      <c r="H84" s="163"/>
      <c r="I84" s="164"/>
      <c r="J84" s="165"/>
      <c r="L84" s="166"/>
    </row>
    <row r="85" spans="1:12" ht="34.5" customHeight="1">
      <c r="A85" s="486" t="s">
        <v>381</v>
      </c>
      <c r="B85" s="487"/>
      <c r="C85" s="487"/>
      <c r="D85" s="487"/>
      <c r="E85" s="487"/>
      <c r="F85" s="487"/>
      <c r="G85" s="487"/>
      <c r="H85" s="488"/>
      <c r="I85" s="254">
        <f>SUM(I86:I87)</f>
        <v>5</v>
      </c>
      <c r="J85" s="344"/>
      <c r="K85" s="151"/>
      <c r="L85" s="112"/>
    </row>
    <row r="86" spans="1:12" ht="20.25" customHeight="1">
      <c r="A86" s="483" t="s">
        <v>359</v>
      </c>
      <c r="B86" s="484"/>
      <c r="C86" s="484"/>
      <c r="D86" s="484"/>
      <c r="E86" s="484"/>
      <c r="F86" s="484"/>
      <c r="G86" s="484"/>
      <c r="H86" s="485"/>
      <c r="I86" s="234">
        <v>5</v>
      </c>
      <c r="J86" s="345"/>
      <c r="K86" s="166"/>
      <c r="L86" s="112"/>
    </row>
    <row r="87" spans="1:12" ht="20.25" customHeight="1">
      <c r="A87" s="483" t="s">
        <v>373</v>
      </c>
      <c r="B87" s="484"/>
      <c r="C87" s="484"/>
      <c r="D87" s="484"/>
      <c r="E87" s="484"/>
      <c r="F87" s="484"/>
      <c r="G87" s="484"/>
      <c r="H87" s="485"/>
      <c r="I87" s="234">
        <v>0</v>
      </c>
      <c r="J87" s="345"/>
      <c r="K87" s="166"/>
      <c r="L87" s="112"/>
    </row>
    <row r="88" spans="1:12" ht="20.25" customHeight="1">
      <c r="A88" s="161"/>
      <c r="B88" s="161"/>
      <c r="C88" s="161"/>
      <c r="D88" s="162"/>
      <c r="E88" s="162"/>
      <c r="F88" s="162"/>
      <c r="G88" s="163"/>
      <c r="H88" s="163"/>
      <c r="I88" s="164"/>
      <c r="J88" s="172"/>
      <c r="L88" s="166"/>
    </row>
    <row r="89" spans="1:12">
      <c r="B89" s="175" t="s">
        <v>36</v>
      </c>
      <c r="C89" s="471"/>
      <c r="D89" s="472"/>
      <c r="E89" s="472"/>
      <c r="F89" s="472"/>
      <c r="G89" s="472"/>
      <c r="H89" s="472"/>
      <c r="I89" s="472"/>
      <c r="J89" s="473"/>
    </row>
    <row r="90" spans="1:12">
      <c r="C90" s="474"/>
      <c r="D90" s="475"/>
      <c r="E90" s="475"/>
      <c r="F90" s="475"/>
      <c r="G90" s="475"/>
      <c r="H90" s="475"/>
      <c r="I90" s="475"/>
      <c r="J90" s="476"/>
    </row>
    <row r="91" spans="1:12">
      <c r="C91" s="474"/>
      <c r="D91" s="475"/>
      <c r="E91" s="475"/>
      <c r="F91" s="475"/>
      <c r="G91" s="475"/>
      <c r="H91" s="475"/>
      <c r="I91" s="475"/>
      <c r="J91" s="476"/>
    </row>
    <row r="92" spans="1:12">
      <c r="C92" s="474"/>
      <c r="D92" s="475"/>
      <c r="E92" s="475"/>
      <c r="F92" s="475"/>
      <c r="G92" s="475"/>
      <c r="H92" s="475"/>
      <c r="I92" s="475"/>
      <c r="J92" s="476"/>
    </row>
    <row r="93" spans="1:12">
      <c r="C93" s="474"/>
      <c r="D93" s="475"/>
      <c r="E93" s="475"/>
      <c r="F93" s="475"/>
      <c r="G93" s="475"/>
      <c r="H93" s="475"/>
      <c r="I93" s="475"/>
      <c r="J93" s="476"/>
    </row>
    <row r="94" spans="1:12">
      <c r="C94" s="477"/>
      <c r="D94" s="478"/>
      <c r="E94" s="478"/>
      <c r="F94" s="478"/>
      <c r="G94" s="478"/>
      <c r="H94" s="478"/>
      <c r="I94" s="478"/>
      <c r="J94" s="479"/>
    </row>
    <row r="96" spans="1:12">
      <c r="B96" s="175" t="s">
        <v>107</v>
      </c>
      <c r="C96" s="471"/>
      <c r="D96" s="472"/>
      <c r="E96" s="472"/>
      <c r="F96" s="472"/>
      <c r="G96" s="472"/>
      <c r="H96" s="472"/>
      <c r="I96" s="472"/>
      <c r="J96" s="473"/>
    </row>
    <row r="97" spans="3:10">
      <c r="C97" s="474"/>
      <c r="D97" s="475"/>
      <c r="E97" s="475"/>
      <c r="F97" s="475"/>
      <c r="G97" s="475"/>
      <c r="H97" s="475"/>
      <c r="I97" s="475"/>
      <c r="J97" s="476"/>
    </row>
    <row r="98" spans="3:10">
      <c r="C98" s="474"/>
      <c r="D98" s="475"/>
      <c r="E98" s="475"/>
      <c r="F98" s="475"/>
      <c r="G98" s="475"/>
      <c r="H98" s="475"/>
      <c r="I98" s="475"/>
      <c r="J98" s="476"/>
    </row>
    <row r="99" spans="3:10">
      <c r="C99" s="474"/>
      <c r="D99" s="475"/>
      <c r="E99" s="475"/>
      <c r="F99" s="475"/>
      <c r="G99" s="475"/>
      <c r="H99" s="475"/>
      <c r="I99" s="475"/>
      <c r="J99" s="476"/>
    </row>
    <row r="100" spans="3:10">
      <c r="C100" s="474"/>
      <c r="D100" s="475"/>
      <c r="E100" s="475"/>
      <c r="F100" s="475"/>
      <c r="G100" s="475"/>
      <c r="H100" s="475"/>
      <c r="I100" s="475"/>
      <c r="J100" s="476"/>
    </row>
    <row r="101" spans="3:10">
      <c r="C101" s="477"/>
      <c r="D101" s="478"/>
      <c r="E101" s="478"/>
      <c r="F101" s="478"/>
      <c r="G101" s="478"/>
      <c r="H101" s="478"/>
      <c r="I101" s="478"/>
      <c r="J101" s="479"/>
    </row>
  </sheetData>
  <sheetProtection algorithmName="SHA-512" hashValue="Cae4Nt5nl7Z3tNk3/Aqd4j7UMASpdenNjctvONgMsSRf0XzVamd5quPUcVzt7vj5GY0ivREQ71hzXnSdRLxJQA==" saltValue="4ZWd8NKRrCksSz86p/TEwA==" spinCount="100000" sheet="1" deleteRows="0" selectLockedCells="1"/>
  <protectedRanges>
    <protectedRange sqref="J1:J10 J12:J1048576" name="Range20" securityDescriptor="O:WDG:WDD:(A;;CC;;;WD)"/>
    <protectedRange sqref="H1:H1048576" name="Range19" securityDescriptor="O:WDG:WDD:(A;;CC;;;WD)"/>
    <protectedRange sqref="D50:F50 D56:F56 D63:F63 D68:F68 D73:F73 D78:F78 G1:G1048576" name="Range18" securityDescriptor="O:WDG:WDD:(A;;CC;;;WD)"/>
    <protectedRange algorithmName="SHA-512" hashValue="l3eZLDNivVr3yM+FP0xoxAoJg5tHK+dzYBmCSTIhVrz1N1VY1V5nR86gUePteR19OINlqxxzOBU05mQhnFVhEg==" saltValue="9yLrTSnFnCLpxTt1C+fvJQ==" spinCount="100000" sqref="A68:J68" name="Range11"/>
    <protectedRange algorithmName="SHA-512" hashValue="MFbYGEg+zS7joxCwUnf9BIEHCagm3wJC+bTMkYmn5xauQa/04NYMEt2+j2fraZ0JM2QEf1aERedaiyCmfOnemQ==" saltValue="XvtsXoU47ogxkwMf31/rOQ==" spinCount="100000" sqref="A63:J63" name="Range10"/>
    <protectedRange algorithmName="SHA-512" hashValue="wJeNehp3FZK4MAAvw0OoQEfYltKWfa8CQeuGLXVi17UlyzUjzjnMDK9pTeNR/Ol0qWSjy9fEEKSaP66wQGtZjQ==" saltValue="rbv1PKIr9xUX3okutx/xWA==" spinCount="100000" sqref="A50:J50" name="Range8"/>
    <protectedRange algorithmName="SHA-512" hashValue="4Zrslq+35JJZcl2PoeailXr1vBc1QqeaG8UhwcmBV8ER1wTJgV3DiE9Jz5NS7zyWUWQJibVEk1TqOWQ7lR0+3w==" saltValue="Hp7S8KRURhQsjx0g6CJRXQ==" spinCount="100000" sqref="A45:J45" name="Range7"/>
    <protectedRange algorithmName="SHA-512" hashValue="mgf+6pVy6nKo4clMtLkUdPvifJDv+D1DS1FGRYGkZfSCa/lyCnL7EMOHcJ2RNB//G3rcb6RTN/1tj7/+ka2eAQ==" saltValue="5aTGY/bvzBcEBMVtYz06Uw==" spinCount="100000" sqref="A40:J40"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 G36:H39 J36:J39 G41:H44 J41:J44 G46:H49 G51:H55 G57:H62 J27:J34 G27:H34 D50:I50 D56:I56 D63:I63 D68:I68 D73:I73 D78:I78 G79:H87 J46:J87 J13:J25 G13:H25 G64:H67 G69:H72 G74:H77" name="Range9"/>
    <protectedRange algorithmName="SHA-512" hashValue="Gq+M/4RDaNeVqicUCg3f+ud6OnzsEUrV7S9RVRL3U443d627EojalyFpoTMXtDfAm2CduASRlfGevgTPt4tMCQ==" saltValue="F3TWLb2lXiCnMx7a5H7P4g==" spinCount="100000" sqref="A73:J73" name="Range12"/>
    <protectedRange algorithmName="SHA-512" hashValue="YVyZVt1GAK0lF45Bls9v/N7EzBgcGTFw8e0g0LsIZKesuJJi6TbSuit8VCNY0I9hxEv7ylVD4omurVX8yeCxMw==" saltValue="Rh8xsOa4hpgdr15QQPzNzQ==" spinCount="100000" sqref="A78:J78" name="Range13"/>
    <protectedRange algorithmName="SHA-512" hashValue="q+SJCO4KsiHVGUZwarLB4KuzMTb7sFpXFZNgQHlFBGgV04L3fAz/UxDDDKiFdqMgk2lb9FyoWfTJnC3Z6N2YXw==" saltValue="I6wPVb7JfIQDDu5aZ+ShyA==" spinCount="100000" sqref="A56:J56" name="Range14"/>
    <protectedRange sqref="K85:K87" name="Range15"/>
    <protectedRange algorithmName="SHA-512" hashValue="3FV+/a2L51Uzt3BXC93MmKtaIJNqtmbpkD6rECZfxLvdSeXcM1fxIIbeyn1VCEbUXMdgAqfCe3e27j1Xp+x7TA==" saltValue="9NjSaLtzu6Aac5hFDjjt6Q==" spinCount="100000" sqref="K85:K87"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A85:H85"/>
    <mergeCell ref="C96:J101"/>
    <mergeCell ref="B5:F5"/>
    <mergeCell ref="B11:F11"/>
    <mergeCell ref="A12:C12"/>
    <mergeCell ref="A26:C26"/>
    <mergeCell ref="C89:J94"/>
    <mergeCell ref="A63:C63"/>
    <mergeCell ref="A35:C35"/>
    <mergeCell ref="A40:C40"/>
    <mergeCell ref="A45:C45"/>
    <mergeCell ref="A50:C50"/>
    <mergeCell ref="A56:C56"/>
    <mergeCell ref="A68:C68"/>
    <mergeCell ref="A86:H86"/>
    <mergeCell ref="A73:C73"/>
    <mergeCell ref="A78:C78"/>
    <mergeCell ref="A87:H87"/>
  </mergeCells>
  <phoneticPr fontId="0" type="noConversion"/>
  <dataValidations count="3">
    <dataValidation type="list" allowBlank="1" showInputMessage="1" showErrorMessage="1" sqref="C7" xr:uid="{00000000-0002-0000-0200-000000000000}">
      <formula1>"New, Experienced, Expert"</formula1>
    </dataValidation>
    <dataValidation type="list" allowBlank="1" showInputMessage="1" showErrorMessage="1" sqref="C51:C53 C46:C47 C41:C42 C27:C32 C36:C37 C57:C60 C64:C65 C79:C81 C69:C70 C74:C75 C13:C23" xr:uid="{00000000-0002-0000-0200-000001000000}">
      <formula1>"New, Existing"</formula1>
    </dataValidation>
    <dataValidation type="list" allowBlank="1" showInputMessage="1" showErrorMessage="1" sqref="A27:A32 A36:A37 A41:A42 A46:A47 A51:A53 A57:A60 A64:A65 A79:A81 A69:A70 A74:A75 A13:A23" xr:uid="{00000000-0002-0000-0200-000002000000}">
      <formula1>"Select a level, New to Area, Proficient, Expert"</formula1>
    </dataValidation>
  </dataValidations>
  <pageMargins left="0.25" right="0.25" top="0.5" bottom="0.5" header="0.3" footer="0.3"/>
  <pageSetup scale="61"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38100</xdr:colOff>
                    <xdr:row>23</xdr:row>
                    <xdr:rowOff>38100</xdr:rowOff>
                  </from>
                  <to>
                    <xdr:col>0</xdr:col>
                    <xdr:colOff>1428750</xdr:colOff>
                    <xdr:row>23</xdr:row>
                    <xdr:rowOff>247650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38100</xdr:colOff>
                    <xdr:row>32</xdr:row>
                    <xdr:rowOff>38100</xdr:rowOff>
                  </from>
                  <to>
                    <xdr:col>0</xdr:col>
                    <xdr:colOff>1428750</xdr:colOff>
                    <xdr:row>32</xdr:row>
                    <xdr:rowOff>247650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38100</xdr:colOff>
                    <xdr:row>37</xdr:row>
                    <xdr:rowOff>38100</xdr:rowOff>
                  </from>
                  <to>
                    <xdr:col>0</xdr:col>
                    <xdr:colOff>1428750</xdr:colOff>
                    <xdr:row>37</xdr:row>
                    <xdr:rowOff>247650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38100</xdr:colOff>
                    <xdr:row>42</xdr:row>
                    <xdr:rowOff>38100</xdr:rowOff>
                  </from>
                  <to>
                    <xdr:col>0</xdr:col>
                    <xdr:colOff>1428750</xdr:colOff>
                    <xdr:row>42</xdr:row>
                    <xdr:rowOff>247650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38100</xdr:colOff>
                    <xdr:row>47</xdr:row>
                    <xdr:rowOff>38100</xdr:rowOff>
                  </from>
                  <to>
                    <xdr:col>0</xdr:col>
                    <xdr:colOff>1428750</xdr:colOff>
                    <xdr:row>47</xdr:row>
                    <xdr:rowOff>247650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38100</xdr:colOff>
                    <xdr:row>53</xdr:row>
                    <xdr:rowOff>38100</xdr:rowOff>
                  </from>
                  <to>
                    <xdr:col>0</xdr:col>
                    <xdr:colOff>1428750</xdr:colOff>
                    <xdr:row>53</xdr:row>
                    <xdr:rowOff>247650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38100</xdr:colOff>
                    <xdr:row>60</xdr:row>
                    <xdr:rowOff>38100</xdr:rowOff>
                  </from>
                  <to>
                    <xdr:col>0</xdr:col>
                    <xdr:colOff>1428750</xdr:colOff>
                    <xdr:row>60</xdr:row>
                    <xdr:rowOff>247650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38100</xdr:colOff>
                    <xdr:row>65</xdr:row>
                    <xdr:rowOff>38100</xdr:rowOff>
                  </from>
                  <to>
                    <xdr:col>0</xdr:col>
                    <xdr:colOff>1428750</xdr:colOff>
                    <xdr:row>65</xdr:row>
                    <xdr:rowOff>247650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38100</xdr:colOff>
                    <xdr:row>70</xdr:row>
                    <xdr:rowOff>38100</xdr:rowOff>
                  </from>
                  <to>
                    <xdr:col>0</xdr:col>
                    <xdr:colOff>1428750</xdr:colOff>
                    <xdr:row>70</xdr:row>
                    <xdr:rowOff>247650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38100</xdr:colOff>
                    <xdr:row>81</xdr:row>
                    <xdr:rowOff>38100</xdr:rowOff>
                  </from>
                  <to>
                    <xdr:col>0</xdr:col>
                    <xdr:colOff>1428750</xdr:colOff>
                    <xdr:row>81</xdr:row>
                    <xdr:rowOff>247650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38100</xdr:colOff>
                    <xdr:row>75</xdr:row>
                    <xdr:rowOff>38100</xdr:rowOff>
                  </from>
                  <to>
                    <xdr:col>0</xdr:col>
                    <xdr:colOff>1428750</xdr:colOff>
                    <xdr:row>75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8"/>
  <sheetViews>
    <sheetView showGridLines="0" showRuler="0" topLeftCell="A44" zoomScaleNormal="100" zoomScalePageLayoutView="40" workbookViewId="0">
      <selection activeCell="C66" sqref="C66:K66"/>
    </sheetView>
  </sheetViews>
  <sheetFormatPr defaultColWidth="9.42578125" defaultRowHeight="14.25"/>
  <cols>
    <col min="1" max="1" width="33.42578125" style="36" customWidth="1"/>
    <col min="2" max="2" width="57.42578125" style="36" bestFit="1" customWidth="1"/>
    <col min="3" max="3" width="12.42578125" style="36" customWidth="1"/>
    <col min="4" max="4" width="10.42578125" style="36" customWidth="1"/>
    <col min="5" max="5" width="12" style="36" customWidth="1"/>
    <col min="6" max="6" width="14.42578125" style="36" bestFit="1" customWidth="1"/>
    <col min="7" max="7" width="1.42578125" style="36" customWidth="1"/>
    <col min="8" max="8" width="14.42578125" style="36" bestFit="1" customWidth="1"/>
    <col min="9" max="9" width="12.42578125" style="35" bestFit="1" customWidth="1"/>
    <col min="10" max="10" width="11.42578125" style="35" bestFit="1" customWidth="1"/>
    <col min="11" max="11" width="13.42578125" style="35" bestFit="1" customWidth="1"/>
    <col min="12" max="13" width="11.42578125" style="36" customWidth="1"/>
    <col min="14" max="14" width="12.42578125" style="36" customWidth="1"/>
    <col min="15" max="15" width="11.42578125" style="36" customWidth="1"/>
    <col min="16" max="16" width="14.42578125" style="36" bestFit="1" customWidth="1"/>
    <col min="17" max="17" width="3.42578125" style="36" customWidth="1"/>
    <col min="18" max="18" width="21.42578125" style="36" customWidth="1"/>
    <col min="19" max="19" width="9.42578125" style="36" customWidth="1"/>
    <col min="20" max="20" width="10.42578125" style="36" customWidth="1"/>
    <col min="21" max="21" width="9.42578125" style="36" customWidth="1"/>
    <col min="22" max="22" width="18.42578125" style="36" customWidth="1"/>
    <col min="23" max="16384" width="9.42578125" style="36"/>
  </cols>
  <sheetData>
    <row r="1" spans="1:16" ht="15.75">
      <c r="A1" s="413" t="str">
        <f>InitialEstimate!A1</f>
        <v>Template Version:</v>
      </c>
      <c r="B1" s="410">
        <f>InitialEstimate!B1</f>
        <v>2.9</v>
      </c>
    </row>
    <row r="2" spans="1:16" s="112" customFormat="1" ht="18">
      <c r="A2" s="210" t="s">
        <v>103</v>
      </c>
      <c r="B2" s="210"/>
    </row>
    <row r="3" spans="1:16" s="112" customFormat="1" ht="12.75"/>
    <row r="4" spans="1:16" ht="18">
      <c r="A4" s="211" t="s">
        <v>110</v>
      </c>
      <c r="B4" s="206" t="str">
        <f>InitialEstimate!F3</f>
        <v>CO 23810 003</v>
      </c>
      <c r="C4" s="112"/>
      <c r="D4" s="112"/>
      <c r="E4" s="112"/>
      <c r="F4" s="112"/>
      <c r="N4" s="37"/>
      <c r="O4" s="37"/>
      <c r="P4" s="117"/>
    </row>
    <row r="5" spans="1:16" ht="51.6" customHeight="1">
      <c r="A5" s="41" t="s">
        <v>20</v>
      </c>
      <c r="B5" s="465" t="s">
        <v>236</v>
      </c>
      <c r="C5" s="465"/>
      <c r="D5" s="465"/>
      <c r="E5" s="465"/>
      <c r="F5" s="465"/>
      <c r="G5" s="49"/>
      <c r="H5" s="49"/>
      <c r="I5" s="49"/>
      <c r="J5" s="49"/>
      <c r="K5" s="49"/>
      <c r="L5" s="49"/>
    </row>
    <row r="6" spans="1:16" ht="15">
      <c r="A6" s="41" t="s">
        <v>31</v>
      </c>
      <c r="B6" s="231" t="s">
        <v>425</v>
      </c>
      <c r="C6" s="112"/>
      <c r="D6" s="112"/>
      <c r="E6" s="112"/>
      <c r="F6" s="112"/>
    </row>
    <row r="7" spans="1:16">
      <c r="D7" s="49"/>
      <c r="E7" s="49"/>
      <c r="F7" s="49"/>
      <c r="G7" s="49"/>
      <c r="H7" s="49"/>
      <c r="I7" s="51"/>
      <c r="J7" s="51"/>
      <c r="K7" s="51"/>
    </row>
    <row r="8" spans="1:16" ht="32.25" customHeight="1">
      <c r="A8" s="212" t="s">
        <v>66</v>
      </c>
      <c r="B8" s="213" t="s">
        <v>96</v>
      </c>
      <c r="C8" s="492" t="s">
        <v>57</v>
      </c>
      <c r="D8" s="492"/>
      <c r="E8" s="492"/>
      <c r="F8" s="492"/>
      <c r="G8" s="212"/>
      <c r="H8" s="212" t="s">
        <v>94</v>
      </c>
      <c r="I8" s="212" t="s">
        <v>79</v>
      </c>
      <c r="J8" s="212" t="s">
        <v>80</v>
      </c>
      <c r="K8" s="212" t="s">
        <v>81</v>
      </c>
      <c r="M8" s="52"/>
      <c r="N8" s="52"/>
      <c r="O8" s="52"/>
      <c r="P8" s="52"/>
    </row>
    <row r="9" spans="1:16" ht="8.65" customHeight="1">
      <c r="A9" s="154"/>
      <c r="B9" s="130"/>
      <c r="C9" s="155"/>
      <c r="D9" s="155"/>
      <c r="E9" s="155"/>
      <c r="F9" s="155"/>
      <c r="G9" s="156"/>
      <c r="H9" s="156"/>
      <c r="I9" s="157"/>
      <c r="J9" s="157"/>
      <c r="K9" s="157"/>
      <c r="L9" s="53"/>
      <c r="M9" s="53"/>
      <c r="N9" s="53"/>
      <c r="O9" s="53"/>
      <c r="P9" s="53"/>
    </row>
    <row r="10" spans="1:16" ht="16.5" thickBot="1">
      <c r="A10" s="214"/>
      <c r="B10" s="214"/>
      <c r="C10" s="214"/>
      <c r="D10" s="214"/>
      <c r="E10" s="214"/>
      <c r="F10" s="214"/>
      <c r="G10" s="215"/>
      <c r="H10" s="216">
        <f>SUM(C11,H13,H43,C61)</f>
        <v>359.75</v>
      </c>
      <c r="I10" s="216">
        <f>SUM(C11,I13,I43,I61)</f>
        <v>449.6875</v>
      </c>
      <c r="J10" s="216">
        <f>SUM(J11,J13,J43,K61)</f>
        <v>25</v>
      </c>
      <c r="K10" s="216">
        <f>MROUND(SUM(C11,K13,K43,K61),0.25)</f>
        <v>484.75</v>
      </c>
      <c r="M10" s="52"/>
      <c r="N10" s="52"/>
      <c r="O10" s="52"/>
      <c r="P10" s="52"/>
    </row>
    <row r="11" spans="1:16" ht="228.75" customHeight="1">
      <c r="A11" s="35"/>
      <c r="B11" s="311" t="s">
        <v>285</v>
      </c>
      <c r="C11" s="286">
        <v>0</v>
      </c>
      <c r="D11" s="35"/>
      <c r="E11" s="35"/>
      <c r="F11" s="35"/>
      <c r="G11" s="35"/>
      <c r="H11" s="35"/>
      <c r="M11" s="35"/>
      <c r="N11" s="35"/>
      <c r="O11" s="35"/>
    </row>
    <row r="12" spans="1:16" ht="15.75" thickBot="1">
      <c r="B12" s="142"/>
      <c r="C12" s="397"/>
      <c r="D12" s="397"/>
      <c r="E12" s="397"/>
      <c r="F12" s="397"/>
      <c r="G12" s="131"/>
      <c r="H12" s="178"/>
      <c r="I12" s="178"/>
      <c r="J12" s="178"/>
      <c r="K12" s="178"/>
      <c r="M12" s="35"/>
      <c r="N12" s="35"/>
      <c r="O12" s="35"/>
    </row>
    <row r="13" spans="1:16" ht="20.25" customHeight="1">
      <c r="A13" s="240"/>
      <c r="B13" s="241" t="s">
        <v>82</v>
      </c>
      <c r="C13" s="228">
        <f>SUM(C16)+SUM(C24)+SUM(C32)</f>
        <v>0</v>
      </c>
      <c r="D13" s="228">
        <f>SUM(D16)+SUM(D24)+SUM(D32)</f>
        <v>0</v>
      </c>
      <c r="E13" s="228">
        <f>SUM(E16)+SUM(E24)+SUM(E32)</f>
        <v>0</v>
      </c>
      <c r="F13" s="228">
        <f>SUM(F16)+SUM(F24)+SUM(F32)</f>
        <v>10</v>
      </c>
      <c r="G13" s="242"/>
      <c r="H13" s="228">
        <f>SUM(H15:H40)</f>
        <v>319.75</v>
      </c>
      <c r="I13" s="228">
        <f>SUM(I15:I40)</f>
        <v>399.6875</v>
      </c>
      <c r="J13" s="228">
        <f>SUM(J15:J40)</f>
        <v>15</v>
      </c>
      <c r="K13" s="229">
        <f>SUM(K15:K40)</f>
        <v>414.6875</v>
      </c>
    </row>
    <row r="14" spans="1:16" ht="20.25" customHeight="1">
      <c r="A14" s="179"/>
      <c r="B14" s="142"/>
      <c r="C14" s="177" t="s">
        <v>53</v>
      </c>
      <c r="D14" s="177" t="s">
        <v>54</v>
      </c>
      <c r="E14" s="177" t="s">
        <v>55</v>
      </c>
      <c r="F14" s="177" t="s">
        <v>56</v>
      </c>
      <c r="G14" s="131"/>
      <c r="H14" s="178"/>
      <c r="I14" s="178"/>
      <c r="J14" s="178"/>
      <c r="K14" s="180"/>
    </row>
    <row r="15" spans="1:16" ht="20.25" customHeight="1">
      <c r="A15" s="399" t="s">
        <v>67</v>
      </c>
      <c r="B15" s="181" t="s">
        <v>212</v>
      </c>
      <c r="C15" s="231">
        <v>0</v>
      </c>
      <c r="D15" s="231">
        <v>4</v>
      </c>
      <c r="E15" s="231">
        <v>0</v>
      </c>
      <c r="F15" s="231">
        <v>0</v>
      </c>
      <c r="G15" s="131"/>
      <c r="H15" s="160">
        <f>(C15*DetailedEstWeightedValues!B146)+(D15*DetailedEstWeightedValues!C146)+(E15*DetailedEstWeightedValues!D146)+(F15*DetailedEstWeightedValues!E146)</f>
        <v>6</v>
      </c>
      <c r="I15" s="160">
        <f>VLOOKUP($A16,DetailedEstWeightedValues!$A$159:$B$161,2,FALSE) * H15</f>
        <v>7.5</v>
      </c>
      <c r="J15" s="231">
        <v>0</v>
      </c>
      <c r="K15" s="182">
        <f>SUM(I15:J15)</f>
        <v>7.5</v>
      </c>
      <c r="L15" s="163"/>
    </row>
    <row r="16" spans="1:16" ht="20.25" customHeight="1">
      <c r="A16" s="399" t="s">
        <v>67</v>
      </c>
      <c r="B16" s="181" t="s">
        <v>145</v>
      </c>
      <c r="C16" s="231">
        <v>0</v>
      </c>
      <c r="D16" s="231">
        <v>0</v>
      </c>
      <c r="E16" s="231"/>
      <c r="F16" s="231">
        <v>10</v>
      </c>
      <c r="H16" s="160">
        <f>(C16*C17*DetailedEstWeightedValues!B147)+(D16*D17*DetailedEstWeightedValues!C147)+(E16*E17*DetailedEstWeightedValues!D147)+(F16*F17*DetailedEstWeightedValues!E147)</f>
        <v>100</v>
      </c>
      <c r="I16" s="160">
        <f>VLOOKUP($A16,DetailedEstWeightedValues!$A$159:$B$161,2,FALSE) * H16</f>
        <v>125</v>
      </c>
      <c r="J16" s="231">
        <v>0</v>
      </c>
      <c r="K16" s="182">
        <f>SUM(I16:J16)</f>
        <v>125</v>
      </c>
    </row>
    <row r="17" spans="1:16" ht="20.25" customHeight="1">
      <c r="A17" s="399" t="s">
        <v>67</v>
      </c>
      <c r="B17" s="181" t="s">
        <v>144</v>
      </c>
      <c r="C17" s="231">
        <v>0</v>
      </c>
      <c r="D17" s="231">
        <v>0</v>
      </c>
      <c r="E17" s="231">
        <v>0</v>
      </c>
      <c r="F17" s="231">
        <v>2.5</v>
      </c>
      <c r="H17" s="163"/>
      <c r="I17" s="163"/>
      <c r="J17" s="163"/>
      <c r="K17" s="183"/>
    </row>
    <row r="18" spans="1:16" ht="20.25" customHeight="1">
      <c r="A18" s="399" t="s">
        <v>67</v>
      </c>
      <c r="B18" s="181" t="s">
        <v>83</v>
      </c>
      <c r="C18" s="184"/>
      <c r="D18" s="185"/>
      <c r="E18" s="185"/>
      <c r="F18" s="186"/>
      <c r="H18" s="160">
        <f>(C16*C17*DetailedEstWeightedValues!B148)+(D16*D17*DetailedEstWeightedValues!C148)+(E16*E17*DetailedEstWeightedValues!D148)+(F16*F17*DetailedEstWeightedValues!E148)</f>
        <v>25</v>
      </c>
      <c r="I18" s="160">
        <f>VLOOKUP($A18,DetailedEstWeightedValues!$A$159:$B$161,2,FALSE) * H18</f>
        <v>31.25</v>
      </c>
      <c r="J18" s="231">
        <v>15</v>
      </c>
      <c r="K18" s="182">
        <f>SUM(I18:J18)</f>
        <v>46.25</v>
      </c>
      <c r="L18" s="163"/>
    </row>
    <row r="19" spans="1:16" ht="20.25" customHeight="1">
      <c r="A19" s="399" t="s">
        <v>67</v>
      </c>
      <c r="B19" s="181" t="s">
        <v>208</v>
      </c>
      <c r="C19" s="187"/>
      <c r="D19" s="155"/>
      <c r="E19" s="155"/>
      <c r="F19" s="188"/>
      <c r="H19" s="160">
        <f>(C16*C17*DetailedEstWeightedValues!B149)+(D16*D17*DetailedEstWeightedValues!C149)+(E16*E17*DetailedEstWeightedValues!D149)+(F16*F17*DetailedEstWeightedValues!E149)</f>
        <v>12.5</v>
      </c>
      <c r="I19" s="160">
        <f>VLOOKUP($A19,DetailedEstWeightedValues!$A$159:$B$161,2,FALSE) * H19</f>
        <v>15.625</v>
      </c>
      <c r="J19" s="231">
        <v>0</v>
      </c>
      <c r="K19" s="182">
        <f>SUM(I19:J19)</f>
        <v>15.625</v>
      </c>
    </row>
    <row r="20" spans="1:16" ht="20.25" customHeight="1">
      <c r="A20" s="399" t="s">
        <v>67</v>
      </c>
      <c r="B20" s="181" t="s">
        <v>205</v>
      </c>
      <c r="C20" s="155"/>
      <c r="D20" s="155"/>
      <c r="E20" s="155"/>
      <c r="F20" s="188"/>
      <c r="H20" s="160">
        <f>(C16*C17*DetailedEstWeightedValues!B150)+(D16*D17*DetailedEstWeightedValues!C150)+(E16*E17*DetailedEstWeightedValues!D150)+(F16*F17*DetailedEstWeightedValues!E150)</f>
        <v>150</v>
      </c>
      <c r="I20" s="160">
        <f>VLOOKUP($A20,DetailedEstWeightedValues!$A$159:$B$161,2,FALSE) * H20</f>
        <v>187.5</v>
      </c>
      <c r="J20" s="231">
        <v>0</v>
      </c>
      <c r="K20" s="182">
        <f>SUM(I20:J20)</f>
        <v>187.5</v>
      </c>
    </row>
    <row r="21" spans="1:16" ht="20.25" customHeight="1">
      <c r="A21" s="399" t="s">
        <v>67</v>
      </c>
      <c r="B21" s="181" t="s">
        <v>143</v>
      </c>
      <c r="C21" s="189"/>
      <c r="D21" s="190"/>
      <c r="E21" s="190"/>
      <c r="F21" s="191"/>
      <c r="H21" s="160">
        <f>SUM(H16,H19:H20)*0.1</f>
        <v>26.25</v>
      </c>
      <c r="I21" s="160">
        <f>VLOOKUP($A21,DetailedEstWeightedValues!$A$159:$B$161,2,FALSE) * H21</f>
        <v>32.8125</v>
      </c>
      <c r="J21" s="231">
        <v>0</v>
      </c>
      <c r="K21" s="182">
        <f>SUM(I21:J21)</f>
        <v>32.8125</v>
      </c>
      <c r="L21" s="163"/>
    </row>
    <row r="22" spans="1:16" ht="15">
      <c r="A22" s="192"/>
      <c r="B22" s="130"/>
      <c r="C22" s="155"/>
      <c r="D22" s="155"/>
      <c r="E22" s="155"/>
      <c r="F22" s="155"/>
      <c r="G22" s="156"/>
      <c r="H22" s="176"/>
      <c r="I22" s="176"/>
      <c r="J22" s="176"/>
      <c r="K22" s="193"/>
    </row>
    <row r="23" spans="1:16" ht="18.75" customHeight="1">
      <c r="A23" s="284" t="s">
        <v>116</v>
      </c>
      <c r="B23" s="181" t="s">
        <v>212</v>
      </c>
      <c r="C23" s="231">
        <v>0</v>
      </c>
      <c r="D23" s="231">
        <v>0</v>
      </c>
      <c r="E23" s="231">
        <v>0</v>
      </c>
      <c r="F23" s="231">
        <v>0</v>
      </c>
      <c r="G23" s="131"/>
      <c r="H23" s="160">
        <f>(C23*DetailedEstWeightedValues!B146)+(D23*DetailedEstWeightedValues!C146)+(E23*DetailedEstWeightedValues!D146)+(F23*DetailedEstWeightedValues!E146)</f>
        <v>0</v>
      </c>
      <c r="I23" s="160">
        <f>VLOOKUP($A24,DetailedEstWeightedValues!$A$159:$B$161,2,FALSE) * H23</f>
        <v>0</v>
      </c>
      <c r="J23" s="231">
        <v>0</v>
      </c>
      <c r="K23" s="182">
        <f>SUM(I23:J23)</f>
        <v>0</v>
      </c>
    </row>
    <row r="24" spans="1:16" ht="20.25" customHeight="1">
      <c r="A24" s="284" t="s">
        <v>116</v>
      </c>
      <c r="B24" s="181" t="s">
        <v>146</v>
      </c>
      <c r="C24" s="231">
        <v>0</v>
      </c>
      <c r="D24" s="231">
        <v>0</v>
      </c>
      <c r="E24" s="231">
        <v>0</v>
      </c>
      <c r="F24" s="231">
        <v>0</v>
      </c>
      <c r="H24" s="160">
        <f>(C24*C25*DetailedEstWeightedValues!B147)+(D24*D25*DetailedEstWeightedValues!C147)+(E24*E25*DetailedEstWeightedValues!D147)+(F24*F25*DetailedEstWeightedValues!E147)</f>
        <v>0</v>
      </c>
      <c r="I24" s="160">
        <f>VLOOKUP($A24,DetailedEstWeightedValues!$A$159:$B$161,2,FALSE) * H24</f>
        <v>0</v>
      </c>
      <c r="J24" s="231">
        <v>0</v>
      </c>
      <c r="K24" s="182">
        <f>SUM(I24:J24)</f>
        <v>0</v>
      </c>
      <c r="L24" s="163"/>
    </row>
    <row r="25" spans="1:16" ht="20.25" customHeight="1">
      <c r="A25" s="284" t="s">
        <v>116</v>
      </c>
      <c r="B25" s="181" t="s">
        <v>147</v>
      </c>
      <c r="C25" s="231">
        <v>0</v>
      </c>
      <c r="D25" s="231">
        <v>0</v>
      </c>
      <c r="E25" s="231">
        <v>0</v>
      </c>
      <c r="F25" s="231">
        <v>0</v>
      </c>
      <c r="H25" s="163"/>
      <c r="I25" s="163"/>
      <c r="J25" s="163"/>
      <c r="K25" s="183"/>
    </row>
    <row r="26" spans="1:16" ht="20.25" customHeight="1">
      <c r="A26" s="284" t="s">
        <v>116</v>
      </c>
      <c r="B26" s="181" t="s">
        <v>117</v>
      </c>
      <c r="C26" s="184"/>
      <c r="D26" s="185"/>
      <c r="E26" s="185"/>
      <c r="F26" s="186"/>
      <c r="H26" s="160">
        <f>(C24*C25*DetailedEstWeightedValues!B148)+(D24*D25*DetailedEstWeightedValues!C148)+(E24*E25*DetailedEstWeightedValues!D148)+(F24*F25*DetailedEstWeightedValues!E148)</f>
        <v>0</v>
      </c>
      <c r="I26" s="160">
        <f>VLOOKUP($A26,DetailedEstWeightedValues!$A$159:$B$161,2,FALSE) * H26</f>
        <v>0</v>
      </c>
      <c r="J26" s="231">
        <v>0</v>
      </c>
      <c r="K26" s="182">
        <f>SUM(I26:J26)</f>
        <v>0</v>
      </c>
    </row>
    <row r="27" spans="1:16" ht="20.25" customHeight="1">
      <c r="A27" s="284" t="s">
        <v>116</v>
      </c>
      <c r="B27" s="181" t="s">
        <v>209</v>
      </c>
      <c r="C27" s="187"/>
      <c r="D27" s="155"/>
      <c r="E27" s="155"/>
      <c r="F27" s="188"/>
      <c r="H27" s="160">
        <f>(C24*C25*DetailedEstWeightedValues!B149)+(D24*D25*DetailedEstWeightedValues!C149)+(E24*E25*DetailedEstWeightedValues!D149)+(F24*F25*DetailedEstWeightedValues!E149)</f>
        <v>0</v>
      </c>
      <c r="I27" s="160">
        <f>VLOOKUP($A27,DetailedEstWeightedValues!$A$159:$B$161,2,FALSE) * H27</f>
        <v>0</v>
      </c>
      <c r="J27" s="231">
        <v>0</v>
      </c>
      <c r="K27" s="182">
        <f>SUM(I27:J27)</f>
        <v>0</v>
      </c>
      <c r="L27" s="163"/>
    </row>
    <row r="28" spans="1:16" ht="20.25" customHeight="1">
      <c r="A28" s="284" t="s">
        <v>116</v>
      </c>
      <c r="B28" s="181" t="s">
        <v>206</v>
      </c>
      <c r="C28" s="155"/>
      <c r="D28" s="155"/>
      <c r="E28" s="155"/>
      <c r="F28" s="188"/>
      <c r="H28" s="160">
        <f>(C24*C25*DetailedEstWeightedValues!B150)+(D24*D25*DetailedEstWeightedValues!C150)+(E24*E25*DetailedEstWeightedValues!D150)+(F24*F25*DetailedEstWeightedValues!E150)</f>
        <v>0</v>
      </c>
      <c r="I28" s="160">
        <f>VLOOKUP($A28,DetailedEstWeightedValues!$A$159:$B$161,2,FALSE) * H28</f>
        <v>0</v>
      </c>
      <c r="J28" s="231">
        <v>0</v>
      </c>
      <c r="K28" s="182">
        <f>SUM(I28:J28)</f>
        <v>0</v>
      </c>
      <c r="L28" s="163"/>
    </row>
    <row r="29" spans="1:16" ht="20.25" customHeight="1">
      <c r="A29" s="284" t="s">
        <v>116</v>
      </c>
      <c r="B29" s="181" t="s">
        <v>148</v>
      </c>
      <c r="C29" s="189"/>
      <c r="D29" s="190"/>
      <c r="E29" s="190"/>
      <c r="F29" s="191"/>
      <c r="H29" s="160">
        <f>SUM(H24,H27:H28)*0.1</f>
        <v>0</v>
      </c>
      <c r="I29" s="160">
        <f>VLOOKUP($A29,DetailedEstWeightedValues!$A$159:$B$161,2,FALSE) * H29</f>
        <v>0</v>
      </c>
      <c r="J29" s="231">
        <v>0</v>
      </c>
      <c r="K29" s="182">
        <f>SUM(I29:J29)</f>
        <v>0</v>
      </c>
      <c r="L29" s="163"/>
    </row>
    <row r="30" spans="1:16" ht="15">
      <c r="A30" s="192"/>
      <c r="B30" s="130"/>
      <c r="C30" s="155"/>
      <c r="D30" s="155"/>
      <c r="E30" s="155"/>
      <c r="F30" s="155"/>
      <c r="G30" s="156"/>
      <c r="H30" s="176"/>
      <c r="I30" s="176"/>
      <c r="J30" s="194"/>
      <c r="K30" s="193"/>
    </row>
    <row r="31" spans="1:16" ht="18" customHeight="1">
      <c r="A31" s="326" t="s">
        <v>69</v>
      </c>
      <c r="B31" s="181" t="s">
        <v>212</v>
      </c>
      <c r="C31" s="231">
        <v>0</v>
      </c>
      <c r="D31" s="231">
        <v>0</v>
      </c>
      <c r="E31" s="231">
        <v>0</v>
      </c>
      <c r="F31" s="231">
        <v>0</v>
      </c>
      <c r="G31" s="131"/>
      <c r="H31" s="160">
        <f>(C31*DetailedEstWeightedValues!B146)+(D31*DetailedEstWeightedValues!C146)+(E31*DetailedEstWeightedValues!D146)+(F31*DetailedEstWeightedValues!E146)</f>
        <v>0</v>
      </c>
      <c r="I31" s="160">
        <f>VLOOKUP($A32,DetailedEstWeightedValues!$A$159:$B$161,2,FALSE) * H31</f>
        <v>0</v>
      </c>
      <c r="J31" s="231">
        <v>0</v>
      </c>
      <c r="K31" s="182">
        <f>SUM(I31:J31)</f>
        <v>0</v>
      </c>
    </row>
    <row r="32" spans="1:16" ht="20.25" customHeight="1">
      <c r="A32" s="326" t="s">
        <v>69</v>
      </c>
      <c r="B32" s="181" t="s">
        <v>149</v>
      </c>
      <c r="C32" s="231">
        <v>0</v>
      </c>
      <c r="D32" s="231">
        <v>0</v>
      </c>
      <c r="E32" s="231">
        <v>0</v>
      </c>
      <c r="F32" s="231">
        <v>0</v>
      </c>
      <c r="H32" s="160">
        <f>(C32*C33*DetailedEstWeightedValues!B147)+(D32*D33*DetailedEstWeightedValues!C147)+(E32*E33*DetailedEstWeightedValues!D147)+(F32*F33*DetailedEstWeightedValues!E147)</f>
        <v>0</v>
      </c>
      <c r="I32" s="160">
        <f>VLOOKUP($A32,DetailedEstWeightedValues!$A$159:$B$161,2,FALSE) * H32</f>
        <v>0</v>
      </c>
      <c r="J32" s="231">
        <v>0</v>
      </c>
      <c r="K32" s="182">
        <f>SUM(I32:J32)</f>
        <v>0</v>
      </c>
      <c r="M32" s="35"/>
      <c r="N32" s="35"/>
      <c r="O32" s="35"/>
      <c r="P32" s="35"/>
    </row>
    <row r="33" spans="1:16383" ht="20.25" customHeight="1">
      <c r="A33" s="326" t="s">
        <v>69</v>
      </c>
      <c r="B33" s="181" t="s">
        <v>150</v>
      </c>
      <c r="C33" s="231">
        <v>0</v>
      </c>
      <c r="D33" s="231">
        <v>0</v>
      </c>
      <c r="E33" s="231">
        <v>0</v>
      </c>
      <c r="F33" s="231">
        <v>0</v>
      </c>
      <c r="H33" s="163"/>
      <c r="I33" s="163"/>
      <c r="J33" s="163"/>
      <c r="K33" s="183"/>
      <c r="L33" s="53"/>
      <c r="M33" s="35"/>
      <c r="N33" s="35"/>
      <c r="O33" s="35"/>
      <c r="P33" s="35"/>
    </row>
    <row r="34" spans="1:16383" ht="20.25" customHeight="1">
      <c r="A34" s="326" t="s">
        <v>69</v>
      </c>
      <c r="B34" s="181" t="s">
        <v>84</v>
      </c>
      <c r="C34" s="184"/>
      <c r="D34" s="185"/>
      <c r="E34" s="185"/>
      <c r="F34" s="186"/>
      <c r="H34" s="160">
        <f>(C32*C33*DetailedEstWeightedValues!B148)+(D32*D33*DetailedEstWeightedValues!C148)+(E32*E33*DetailedEstWeightedValues!D148)+(F32*F33*DetailedEstWeightedValues!E148)</f>
        <v>0</v>
      </c>
      <c r="I34" s="160">
        <f>VLOOKUP($A34,DetailedEstWeightedValues!$A$159:$B$161,2,FALSE) * H34</f>
        <v>0</v>
      </c>
      <c r="J34" s="231">
        <v>0</v>
      </c>
      <c r="K34" s="182">
        <f>SUM(I34:J34)</f>
        <v>0</v>
      </c>
      <c r="L34" s="53"/>
      <c r="M34" s="35"/>
      <c r="N34" s="35"/>
      <c r="O34" s="35"/>
      <c r="P34" s="35"/>
    </row>
    <row r="35" spans="1:16383" ht="20.25" customHeight="1">
      <c r="A35" s="326" t="s">
        <v>69</v>
      </c>
      <c r="B35" s="181" t="s">
        <v>210</v>
      </c>
      <c r="C35" s="187"/>
      <c r="D35" s="155"/>
      <c r="E35" s="155"/>
      <c r="F35" s="188"/>
      <c r="H35" s="160">
        <f>(C32*C33*DetailedEstWeightedValues!B149)+(D32*D33*DetailedEstWeightedValues!C149)+(E32*E33*DetailedEstWeightedValues!D149)+(F32*F33*DetailedEstWeightedValues!E149)</f>
        <v>0</v>
      </c>
      <c r="I35" s="160">
        <f>VLOOKUP($A35,DetailedEstWeightedValues!$A$159:$B$161,2,FALSE) * H35</f>
        <v>0</v>
      </c>
      <c r="J35" s="231">
        <v>0</v>
      </c>
      <c r="K35" s="182">
        <f>SUM(I35:J35)</f>
        <v>0</v>
      </c>
      <c r="L35" s="53"/>
      <c r="M35" s="35"/>
      <c r="N35" s="35"/>
      <c r="O35" s="35"/>
      <c r="P35" s="35"/>
    </row>
    <row r="36" spans="1:16383" ht="19.899999999999999" customHeight="1">
      <c r="A36" s="326" t="s">
        <v>69</v>
      </c>
      <c r="B36" s="181" t="s">
        <v>207</v>
      </c>
      <c r="C36" s="155"/>
      <c r="D36" s="155"/>
      <c r="E36" s="155"/>
      <c r="F36" s="155"/>
      <c r="G36" s="195"/>
      <c r="H36" s="196">
        <f>(C32*C33*DetailedEstWeightedValues!B150)+(D32*D33*DetailedEstWeightedValues!C150)+(E32*E33*DetailedEstWeightedValues!D150)+(F32*F33*DetailedEstWeightedValues!E150)</f>
        <v>0</v>
      </c>
      <c r="I36" s="160">
        <f>VLOOKUP($A36,DetailedEstWeightedValues!$A$159:$B$161,2,FALSE) * H36</f>
        <v>0</v>
      </c>
      <c r="J36" s="231">
        <v>0</v>
      </c>
      <c r="K36" s="182">
        <f>SUM(I36:J36)</f>
        <v>0</v>
      </c>
    </row>
    <row r="37" spans="1:16383" ht="19.899999999999999" customHeight="1" thickBot="1">
      <c r="A37" s="327" t="s">
        <v>69</v>
      </c>
      <c r="B37" s="197" t="s">
        <v>151</v>
      </c>
      <c r="C37" s="198"/>
      <c r="D37" s="198"/>
      <c r="E37" s="198"/>
      <c r="F37" s="199"/>
      <c r="G37" s="200"/>
      <c r="H37" s="174">
        <f>SUM(H32,H35:H36)*0.1</f>
        <v>0</v>
      </c>
      <c r="I37" s="174">
        <f>VLOOKUP($A37,DetailedEstWeightedValues!$A$159:$B$161,2,FALSE) * H37</f>
        <v>0</v>
      </c>
      <c r="J37" s="317">
        <v>0</v>
      </c>
      <c r="K37" s="201">
        <f>SUM(I37:J37)</f>
        <v>0</v>
      </c>
    </row>
    <row r="38" spans="1:16383" ht="6" customHeight="1">
      <c r="B38" s="142"/>
      <c r="C38" s="397"/>
      <c r="D38" s="397"/>
      <c r="E38" s="397"/>
      <c r="F38" s="397"/>
      <c r="G38" s="131"/>
      <c r="H38" s="178"/>
      <c r="I38" s="178"/>
      <c r="J38" s="178"/>
      <c r="K38" s="178"/>
    </row>
    <row r="39" spans="1:16383" ht="17.100000000000001" customHeight="1">
      <c r="B39" s="142"/>
      <c r="C39" s="397"/>
      <c r="D39" s="397"/>
      <c r="E39" s="397"/>
      <c r="F39" s="397"/>
      <c r="G39" s="131"/>
      <c r="H39" s="178"/>
      <c r="I39" s="178"/>
      <c r="J39" s="178"/>
      <c r="K39" s="178"/>
    </row>
    <row r="40" spans="1:16383" ht="20.25" hidden="1" customHeight="1" thickBot="1">
      <c r="A40" s="160" t="s">
        <v>116</v>
      </c>
      <c r="B40" s="398" t="s">
        <v>58</v>
      </c>
      <c r="C40" s="160">
        <v>0</v>
      </c>
      <c r="D40" s="160">
        <v>0</v>
      </c>
      <c r="E40" s="160">
        <v>0</v>
      </c>
      <c r="F40" s="160">
        <v>0</v>
      </c>
      <c r="H40" s="160">
        <f>(C40*DetailedEstWeightedValues!B151)+(D40*DetailedEstWeightedValues!C151)+(E40*DetailedEstWeightedValues!D151)+(F40*DetailedEstWeightedValues!E151)</f>
        <v>0</v>
      </c>
      <c r="I40" s="160">
        <f>VLOOKUP($A40,DetailedEstWeightedValues!$A$159:$B$161,2,FALSE) * H40</f>
        <v>0</v>
      </c>
      <c r="J40" s="400">
        <v>0</v>
      </c>
      <c r="K40" s="160">
        <f>MROUND(SUM(I40:J40),0.25)</f>
        <v>0</v>
      </c>
    </row>
    <row r="41" spans="1:16383" ht="20.25" hidden="1" customHeight="1">
      <c r="B41" s="142"/>
      <c r="C41" s="124"/>
      <c r="D41" s="124"/>
      <c r="H41" s="163"/>
      <c r="I41" s="163"/>
      <c r="J41" s="163"/>
      <c r="K41" s="163"/>
    </row>
    <row r="42" spans="1:16383" ht="6" customHeight="1" thickBot="1">
      <c r="B42" s="142"/>
      <c r="C42" s="397"/>
      <c r="D42" s="397"/>
      <c r="E42" s="397"/>
      <c r="F42" s="397"/>
      <c r="G42" s="131"/>
      <c r="H42" s="178"/>
      <c r="I42" s="178"/>
      <c r="J42" s="178"/>
      <c r="K42" s="178"/>
    </row>
    <row r="43" spans="1:16383" ht="20.25" customHeight="1">
      <c r="A43" s="240"/>
      <c r="B43" s="241" t="s">
        <v>85</v>
      </c>
      <c r="C43" s="504"/>
      <c r="D43" s="504"/>
      <c r="E43" s="504"/>
      <c r="F43" s="504"/>
      <c r="G43" s="505"/>
      <c r="H43" s="228">
        <f>SUM(H45:H55)</f>
        <v>40</v>
      </c>
      <c r="I43" s="228">
        <f>SUM(I45:I55)</f>
        <v>50</v>
      </c>
      <c r="J43" s="228">
        <f>SUM(J45:J55)</f>
        <v>0</v>
      </c>
      <c r="K43" s="229">
        <f>MROUND(SUM(K45:K55,K57),0.25)</f>
        <v>60</v>
      </c>
    </row>
    <row r="44" spans="1:16383" ht="20.25" customHeight="1">
      <c r="A44" s="202"/>
      <c r="B44" s="203" t="s">
        <v>246</v>
      </c>
      <c r="C44" s="177" t="s">
        <v>53</v>
      </c>
      <c r="D44" s="177" t="s">
        <v>54</v>
      </c>
      <c r="E44" s="177" t="s">
        <v>55</v>
      </c>
      <c r="F44" s="177" t="s">
        <v>56</v>
      </c>
      <c r="H44" s="163"/>
      <c r="I44" s="163"/>
      <c r="J44" s="163"/>
      <c r="K44" s="183"/>
    </row>
    <row r="45" spans="1:16383" ht="20.25" customHeight="1">
      <c r="A45" s="284" t="s">
        <v>67</v>
      </c>
      <c r="B45" s="181" t="s">
        <v>59</v>
      </c>
      <c r="C45" s="374"/>
      <c r="D45" s="374"/>
      <c r="E45" s="374"/>
      <c r="F45" s="374" t="s">
        <v>426</v>
      </c>
      <c r="H45" s="160">
        <f>IF(C45="x",DetailedEstWeightedValues!$B153,"0")+IF(D45="x",DetailedEstWeightedValues!$C153,"0")+IF(E45="x",DetailedEstWeightedValues!$D153,"0")+IF(F45="x",DetailedEstWeightedValues!$E153,"0")</f>
        <v>40</v>
      </c>
      <c r="I45" s="160">
        <f>VLOOKUP($A45,DetailedEstWeightedValues!$A$159:$B$161,2,FALSE) * H45</f>
        <v>50</v>
      </c>
      <c r="J45" s="231">
        <v>0</v>
      </c>
      <c r="K45" s="182">
        <f>SUM(I45:J45)</f>
        <v>50</v>
      </c>
    </row>
    <row r="46" spans="1:16383" ht="20.25" customHeight="1">
      <c r="A46" s="284" t="s">
        <v>67</v>
      </c>
      <c r="B46" s="181" t="s">
        <v>60</v>
      </c>
      <c r="C46" s="374"/>
      <c r="D46" s="374"/>
      <c r="E46" s="374"/>
      <c r="F46" s="374"/>
      <c r="H46" s="160">
        <f>IF(C46="x",DetailedEstWeightedValues!$B154,"0")+IF(D46="x",DetailedEstWeightedValues!$C154,"0")+IF(E46="x",DetailedEstWeightedValues!$D154,"0")+IF(F46="x",DetailedEstWeightedValues!$E154,"0")</f>
        <v>0</v>
      </c>
      <c r="I46" s="160">
        <f>VLOOKUP($A46,DetailedEstWeightedValues!$A$159:$B$161,2,FALSE) * H46</f>
        <v>0</v>
      </c>
      <c r="J46" s="231">
        <v>0</v>
      </c>
      <c r="K46" s="182">
        <f>SUM(I46:J46)</f>
        <v>0</v>
      </c>
    </row>
    <row r="47" spans="1:16383" ht="20.25" customHeight="1">
      <c r="A47" s="284" t="s">
        <v>67</v>
      </c>
      <c r="B47" s="181" t="s">
        <v>61</v>
      </c>
      <c r="C47" s="374"/>
      <c r="D47" s="374"/>
      <c r="E47" s="374"/>
      <c r="F47" s="374"/>
      <c r="H47" s="160">
        <f>IF(C47="x",DetailedEstWeightedValues!$B155,"0")+IF(D47="x",DetailedEstWeightedValues!$C155,"0")+IF(E47="x",DetailedEstWeightedValues!$D155,"0")+IF(F47="x",DetailedEstWeightedValues!$E155,"0")</f>
        <v>0</v>
      </c>
      <c r="I47" s="160">
        <f>VLOOKUP($A47,DetailedEstWeightedValues!$A$159:$B$161,2,FALSE) * H47</f>
        <v>0</v>
      </c>
      <c r="J47" s="231">
        <v>0</v>
      </c>
      <c r="K47" s="182">
        <f>SUM(I47:J47)</f>
        <v>0</v>
      </c>
    </row>
    <row r="48" spans="1:16383" ht="7.15" customHeight="1">
      <c r="A48" s="192"/>
      <c r="B48" s="130"/>
      <c r="C48" s="285"/>
      <c r="D48" s="285"/>
      <c r="E48" s="285"/>
      <c r="F48" s="285"/>
      <c r="G48" s="156"/>
      <c r="H48" s="176"/>
      <c r="I48" s="176"/>
      <c r="J48" s="176"/>
      <c r="K48" s="19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3"/>
      <c r="DR48" s="133"/>
      <c r="DS48" s="133"/>
      <c r="DT48" s="133"/>
      <c r="DU48" s="133"/>
      <c r="DV48" s="133"/>
      <c r="DW48" s="133"/>
      <c r="DX48" s="133"/>
      <c r="DY48" s="133"/>
      <c r="DZ48" s="133"/>
      <c r="EA48" s="133"/>
      <c r="EB48" s="133"/>
      <c r="EC48" s="133"/>
      <c r="ED48" s="133"/>
      <c r="EE48" s="133"/>
      <c r="EF48" s="133"/>
      <c r="EG48" s="133"/>
      <c r="EH48" s="133"/>
      <c r="EI48" s="133"/>
      <c r="EJ48" s="133"/>
      <c r="EK48" s="133"/>
      <c r="EL48" s="133"/>
      <c r="EM48" s="133"/>
      <c r="EN48" s="133"/>
      <c r="EO48" s="133"/>
      <c r="EP48" s="133"/>
      <c r="EQ48" s="133"/>
      <c r="ER48" s="133"/>
      <c r="ES48" s="133"/>
      <c r="ET48" s="133"/>
      <c r="EU48" s="133"/>
      <c r="EV48" s="133"/>
      <c r="EW48" s="133"/>
      <c r="EX48" s="133"/>
      <c r="EY48" s="133"/>
      <c r="EZ48" s="133"/>
      <c r="FA48" s="133"/>
      <c r="FB48" s="133"/>
      <c r="FC48" s="133"/>
      <c r="FD48" s="133"/>
      <c r="FE48" s="133"/>
      <c r="FF48" s="133"/>
      <c r="FG48" s="133"/>
      <c r="FH48" s="133"/>
      <c r="FI48" s="133"/>
      <c r="FJ48" s="133"/>
      <c r="FK48" s="133"/>
      <c r="FL48" s="133"/>
      <c r="FM48" s="133"/>
      <c r="FN48" s="133"/>
      <c r="FO48" s="133"/>
      <c r="FP48" s="133"/>
      <c r="FQ48" s="133"/>
      <c r="FR48" s="133"/>
      <c r="FS48" s="133"/>
      <c r="FT48" s="133"/>
      <c r="FU48" s="133"/>
      <c r="FV48" s="133"/>
      <c r="FW48" s="133"/>
      <c r="FX48" s="133"/>
      <c r="FY48" s="133"/>
      <c r="FZ48" s="133"/>
      <c r="GA48" s="133"/>
      <c r="GB48" s="133"/>
      <c r="GC48" s="133"/>
      <c r="GD48" s="133"/>
      <c r="GE48" s="133"/>
      <c r="GF48" s="133"/>
      <c r="GG48" s="133"/>
      <c r="GH48" s="133"/>
      <c r="GI48" s="133"/>
      <c r="GJ48" s="133"/>
      <c r="GK48" s="133"/>
      <c r="GL48" s="133"/>
      <c r="GM48" s="133"/>
      <c r="GN48" s="133"/>
      <c r="GO48" s="133"/>
      <c r="GP48" s="133"/>
      <c r="GQ48" s="133"/>
      <c r="GR48" s="133"/>
      <c r="GS48" s="133"/>
      <c r="GT48" s="133"/>
      <c r="GU48" s="133"/>
      <c r="GV48" s="133"/>
      <c r="GW48" s="133"/>
      <c r="GX48" s="133"/>
      <c r="GY48" s="133"/>
      <c r="GZ48" s="133"/>
      <c r="HA48" s="133"/>
      <c r="HB48" s="133"/>
      <c r="HC48" s="133"/>
      <c r="HD48" s="133"/>
      <c r="HE48" s="133"/>
      <c r="HF48" s="133"/>
      <c r="HG48" s="133"/>
      <c r="HH48" s="133"/>
      <c r="HI48" s="133"/>
      <c r="HJ48" s="133"/>
      <c r="HK48" s="133"/>
      <c r="HL48" s="133"/>
      <c r="HM48" s="133"/>
      <c r="HN48" s="133"/>
      <c r="HO48" s="133"/>
      <c r="HP48" s="133"/>
      <c r="HQ48" s="133"/>
      <c r="HR48" s="133"/>
      <c r="HS48" s="133"/>
      <c r="HT48" s="133"/>
      <c r="HU48" s="133"/>
      <c r="HV48" s="133"/>
      <c r="HW48" s="133"/>
      <c r="HX48" s="133"/>
      <c r="HY48" s="133"/>
      <c r="HZ48" s="133"/>
      <c r="IA48" s="133"/>
      <c r="IB48" s="133"/>
      <c r="IC48" s="133"/>
      <c r="ID48" s="133"/>
      <c r="IE48" s="133"/>
      <c r="IF48" s="133"/>
      <c r="IG48" s="133"/>
      <c r="IH48" s="133"/>
      <c r="II48" s="133"/>
      <c r="IJ48" s="133"/>
      <c r="IK48" s="133"/>
      <c r="IL48" s="133"/>
      <c r="IM48" s="133"/>
      <c r="IN48" s="133"/>
      <c r="IO48" s="133"/>
      <c r="IP48" s="133"/>
      <c r="IQ48" s="133"/>
      <c r="IR48" s="133"/>
      <c r="IS48" s="133"/>
      <c r="IT48" s="133"/>
      <c r="IU48" s="133"/>
      <c r="IV48" s="133"/>
      <c r="IW48" s="133"/>
      <c r="IX48" s="133"/>
      <c r="IY48" s="133"/>
      <c r="IZ48" s="133"/>
      <c r="JA48" s="133"/>
      <c r="JB48" s="133"/>
      <c r="JC48" s="133"/>
      <c r="JD48" s="133"/>
      <c r="JE48" s="133"/>
      <c r="JF48" s="133"/>
      <c r="JG48" s="133"/>
      <c r="JH48" s="133"/>
      <c r="JI48" s="133"/>
      <c r="JJ48" s="133"/>
      <c r="JK48" s="133"/>
      <c r="JL48" s="133"/>
      <c r="JM48" s="133"/>
      <c r="JN48" s="133"/>
      <c r="JO48" s="133"/>
      <c r="JP48" s="133"/>
      <c r="JQ48" s="133"/>
      <c r="JR48" s="133"/>
      <c r="JS48" s="133"/>
      <c r="JT48" s="133"/>
      <c r="JU48" s="133"/>
      <c r="JV48" s="133"/>
      <c r="JW48" s="133"/>
      <c r="JX48" s="133"/>
      <c r="JY48" s="133"/>
      <c r="JZ48" s="133"/>
      <c r="KA48" s="133"/>
      <c r="KB48" s="133"/>
      <c r="KC48" s="133"/>
      <c r="KD48" s="133"/>
      <c r="KE48" s="133"/>
      <c r="KF48" s="133"/>
      <c r="KG48" s="133"/>
      <c r="KH48" s="133"/>
      <c r="KI48" s="133"/>
      <c r="KJ48" s="133"/>
      <c r="KK48" s="133"/>
      <c r="KL48" s="133"/>
      <c r="KM48" s="133"/>
      <c r="KN48" s="133"/>
      <c r="KO48" s="133"/>
      <c r="KP48" s="133"/>
      <c r="KQ48" s="133"/>
      <c r="KR48" s="133"/>
      <c r="KS48" s="133"/>
      <c r="KT48" s="133"/>
      <c r="KU48" s="133"/>
      <c r="KV48" s="133"/>
      <c r="KW48" s="133"/>
      <c r="KX48" s="133"/>
      <c r="KY48" s="133"/>
      <c r="KZ48" s="133"/>
      <c r="LA48" s="133"/>
      <c r="LB48" s="133"/>
      <c r="LC48" s="133"/>
      <c r="LD48" s="133"/>
      <c r="LE48" s="133"/>
      <c r="LF48" s="133"/>
      <c r="LG48" s="133"/>
      <c r="LH48" s="133"/>
      <c r="LI48" s="133"/>
      <c r="LJ48" s="133"/>
      <c r="LK48" s="133"/>
      <c r="LL48" s="133"/>
      <c r="LM48" s="133"/>
      <c r="LN48" s="133"/>
      <c r="LO48" s="133"/>
      <c r="LP48" s="133"/>
      <c r="LQ48" s="133"/>
      <c r="LR48" s="133"/>
      <c r="LS48" s="133"/>
      <c r="LT48" s="133"/>
      <c r="LU48" s="133"/>
      <c r="LV48" s="133"/>
      <c r="LW48" s="133"/>
      <c r="LX48" s="133"/>
      <c r="LY48" s="133"/>
      <c r="LZ48" s="133"/>
      <c r="MA48" s="133"/>
      <c r="MB48" s="133"/>
      <c r="MC48" s="133"/>
      <c r="MD48" s="133"/>
      <c r="ME48" s="133"/>
      <c r="MF48" s="133"/>
      <c r="MG48" s="133"/>
      <c r="MH48" s="133"/>
      <c r="MI48" s="133"/>
      <c r="MJ48" s="133"/>
      <c r="MK48" s="133"/>
      <c r="ML48" s="133"/>
      <c r="MM48" s="133"/>
      <c r="MN48" s="133"/>
      <c r="MO48" s="133"/>
      <c r="MP48" s="133"/>
      <c r="MQ48" s="133"/>
      <c r="MR48" s="133"/>
      <c r="MS48" s="133"/>
      <c r="MT48" s="133"/>
      <c r="MU48" s="133"/>
      <c r="MV48" s="133"/>
      <c r="MW48" s="133"/>
      <c r="MX48" s="133"/>
      <c r="MY48" s="133"/>
      <c r="MZ48" s="133"/>
      <c r="NA48" s="133"/>
      <c r="NB48" s="133"/>
      <c r="NC48" s="133"/>
      <c r="ND48" s="133"/>
      <c r="NE48" s="133"/>
      <c r="NF48" s="133"/>
      <c r="NG48" s="133"/>
      <c r="NH48" s="133"/>
      <c r="NI48" s="133"/>
      <c r="NJ48" s="133"/>
      <c r="NK48" s="133"/>
      <c r="NL48" s="133"/>
      <c r="NM48" s="133"/>
      <c r="NN48" s="133"/>
      <c r="NO48" s="133"/>
      <c r="NP48" s="133"/>
      <c r="NQ48" s="133"/>
      <c r="NR48" s="133"/>
      <c r="NS48" s="133"/>
      <c r="NT48" s="133"/>
      <c r="NU48" s="133"/>
      <c r="NV48" s="133"/>
      <c r="NW48" s="133"/>
      <c r="NX48" s="133"/>
      <c r="NY48" s="133"/>
      <c r="NZ48" s="133"/>
      <c r="OA48" s="133"/>
      <c r="OB48" s="133"/>
      <c r="OC48" s="133"/>
      <c r="OD48" s="133"/>
      <c r="OE48" s="133"/>
      <c r="OF48" s="133"/>
      <c r="OG48" s="133"/>
      <c r="OH48" s="133"/>
      <c r="OI48" s="133"/>
      <c r="OJ48" s="133"/>
      <c r="OK48" s="133"/>
      <c r="OL48" s="133"/>
      <c r="OM48" s="133"/>
      <c r="ON48" s="133"/>
      <c r="OO48" s="133"/>
      <c r="OP48" s="133"/>
      <c r="OQ48" s="133"/>
      <c r="OR48" s="133"/>
      <c r="OS48" s="133"/>
      <c r="OT48" s="133"/>
      <c r="OU48" s="133"/>
      <c r="OV48" s="133"/>
      <c r="OW48" s="133"/>
      <c r="OX48" s="133"/>
      <c r="OY48" s="133"/>
      <c r="OZ48" s="133"/>
      <c r="PA48" s="133"/>
      <c r="PB48" s="133"/>
      <c r="PC48" s="133"/>
      <c r="PD48" s="133"/>
      <c r="PE48" s="133"/>
      <c r="PF48" s="133"/>
      <c r="PG48" s="133"/>
      <c r="PH48" s="133"/>
      <c r="PI48" s="133"/>
      <c r="PJ48" s="133"/>
      <c r="PK48" s="133"/>
      <c r="PL48" s="133"/>
      <c r="PM48" s="133"/>
      <c r="PN48" s="133"/>
      <c r="PO48" s="133"/>
      <c r="PP48" s="133"/>
      <c r="PQ48" s="133"/>
      <c r="PR48" s="133"/>
      <c r="PS48" s="133"/>
      <c r="PT48" s="133"/>
      <c r="PU48" s="133"/>
      <c r="PV48" s="133"/>
      <c r="PW48" s="133"/>
      <c r="PX48" s="133"/>
      <c r="PY48" s="133"/>
      <c r="PZ48" s="133"/>
      <c r="QA48" s="133"/>
      <c r="QB48" s="133"/>
      <c r="QC48" s="133"/>
      <c r="QD48" s="133"/>
      <c r="QE48" s="133"/>
      <c r="QF48" s="133"/>
      <c r="QG48" s="133"/>
      <c r="QH48" s="133"/>
      <c r="QI48" s="133"/>
      <c r="QJ48" s="133"/>
      <c r="QK48" s="133"/>
      <c r="QL48" s="133"/>
      <c r="QM48" s="133"/>
      <c r="QN48" s="133"/>
      <c r="QO48" s="133"/>
      <c r="QP48" s="133"/>
      <c r="QQ48" s="133"/>
      <c r="QR48" s="133"/>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c r="XEX48" s="157"/>
      <c r="XEY48" s="157"/>
      <c r="XEZ48" s="157"/>
      <c r="XFA48" s="157"/>
      <c r="XFB48" s="157"/>
      <c r="XFC48" s="157"/>
    </row>
    <row r="49" spans="1:11" ht="20.25" customHeight="1">
      <c r="A49" s="284" t="s">
        <v>116</v>
      </c>
      <c r="B49" s="181" t="s">
        <v>86</v>
      </c>
      <c r="C49" s="374"/>
      <c r="D49" s="374"/>
      <c r="E49" s="374"/>
      <c r="F49" s="374"/>
      <c r="G49" s="49"/>
      <c r="H49" s="160">
        <f>IF(C49="x",DetailedEstWeightedValues!$B153,"0")+IF(D49="x",DetailedEstWeightedValues!$C153,"0")+IF(E49="x",DetailedEstWeightedValues!$D153,"0")+IF(F49="x",DetailedEstWeightedValues!$E153,"0")</f>
        <v>0</v>
      </c>
      <c r="I49" s="160">
        <f>VLOOKUP($A49,DetailedEstWeightedValues!$A$159:$B$161,2,FALSE) * H49</f>
        <v>0</v>
      </c>
      <c r="J49" s="231">
        <v>0</v>
      </c>
      <c r="K49" s="182">
        <f>SUM(I49:J49)</f>
        <v>0</v>
      </c>
    </row>
    <row r="50" spans="1:11" ht="20.25" customHeight="1">
      <c r="A50" s="284" t="s">
        <v>116</v>
      </c>
      <c r="B50" s="181" t="s">
        <v>87</v>
      </c>
      <c r="C50" s="374"/>
      <c r="D50" s="374"/>
      <c r="E50" s="374"/>
      <c r="F50" s="374"/>
      <c r="H50" s="160">
        <f>IF(C50="x",DetailedEstWeightedValues!$B154,"0")+IF(D50="x",DetailedEstWeightedValues!$C154,"0")+IF(E50="x",DetailedEstWeightedValues!$D154,"0")+IF(F50="x",DetailedEstWeightedValues!$E154,"0")</f>
        <v>0</v>
      </c>
      <c r="I50" s="160">
        <f>VLOOKUP($A50,DetailedEstWeightedValues!$A$159:$B$161,2,FALSE) * H50</f>
        <v>0</v>
      </c>
      <c r="J50" s="231">
        <v>0</v>
      </c>
      <c r="K50" s="182">
        <f>SUM(I50:J50)</f>
        <v>0</v>
      </c>
    </row>
    <row r="51" spans="1:11" ht="20.25" customHeight="1">
      <c r="A51" s="284" t="s">
        <v>116</v>
      </c>
      <c r="B51" s="181" t="s">
        <v>88</v>
      </c>
      <c r="C51" s="374"/>
      <c r="D51" s="374"/>
      <c r="E51" s="374"/>
      <c r="F51" s="374"/>
      <c r="H51" s="160">
        <f>IF(C51="x",DetailedEstWeightedValues!$B155,"0")+IF(D51="x",DetailedEstWeightedValues!$C155,"0")+IF(E51="x",DetailedEstWeightedValues!$D155,"0")+IF(F51="x",DetailedEstWeightedValues!$E155,"0")</f>
        <v>0</v>
      </c>
      <c r="I51" s="160">
        <f>VLOOKUP($A51,DetailedEstWeightedValues!$A$159:$B$161,2,FALSE) * H51</f>
        <v>0</v>
      </c>
      <c r="J51" s="231">
        <v>0</v>
      </c>
      <c r="K51" s="182">
        <f>SUM(I51:J51)</f>
        <v>0</v>
      </c>
    </row>
    <row r="52" spans="1:11" ht="6.6" customHeight="1">
      <c r="A52" s="204"/>
      <c r="B52" s="157"/>
      <c r="C52" s="285"/>
      <c r="D52" s="285"/>
      <c r="E52" s="285"/>
      <c r="F52" s="285"/>
      <c r="G52" s="157"/>
      <c r="H52" s="176"/>
      <c r="I52" s="176"/>
      <c r="J52" s="176"/>
      <c r="K52" s="193"/>
    </row>
    <row r="53" spans="1:11" ht="20.25" customHeight="1">
      <c r="A53" s="284" t="s">
        <v>69</v>
      </c>
      <c r="B53" s="181" t="s">
        <v>89</v>
      </c>
      <c r="C53" s="374"/>
      <c r="D53" s="374"/>
      <c r="E53" s="374"/>
      <c r="F53" s="374"/>
      <c r="H53" s="160">
        <f>IF(C53="x",DetailedEstWeightedValues!$B153,"0")+IF(D53="x",DetailedEstWeightedValues!$C153,"0")+IF(E53="x",DetailedEstWeightedValues!$D153,"0")+IF(F53="x",DetailedEstWeightedValues!$E153,"0")</f>
        <v>0</v>
      </c>
      <c r="I53" s="160">
        <f>VLOOKUP($A53,DetailedEstWeightedValues!$A$159:$B$161,2,FALSE) * H53</f>
        <v>0</v>
      </c>
      <c r="J53" s="231">
        <v>0</v>
      </c>
      <c r="K53" s="182">
        <f>SUM(I53:J53)</f>
        <v>0</v>
      </c>
    </row>
    <row r="54" spans="1:11" ht="20.25" customHeight="1">
      <c r="A54" s="284" t="s">
        <v>69</v>
      </c>
      <c r="B54" s="181" t="s">
        <v>90</v>
      </c>
      <c r="C54" s="374"/>
      <c r="D54" s="374"/>
      <c r="E54" s="374"/>
      <c r="F54" s="374"/>
      <c r="H54" s="160">
        <f>IF(C54="x",DetailedEstWeightedValues!$B154,"0")+IF(D54="x",DetailedEstWeightedValues!$C154,"0")+IF(E54="x",DetailedEstWeightedValues!$D154,"0")+IF(F54="x",DetailedEstWeightedValues!$E154,"0")</f>
        <v>0</v>
      </c>
      <c r="I54" s="160">
        <f>VLOOKUP($A54,DetailedEstWeightedValues!$A$159:$B$161,2,FALSE) * H54</f>
        <v>0</v>
      </c>
      <c r="J54" s="231">
        <v>0</v>
      </c>
      <c r="K54" s="182">
        <f>SUM(I54:J54)</f>
        <v>0</v>
      </c>
    </row>
    <row r="55" spans="1:11" ht="20.25" customHeight="1">
      <c r="A55" s="346" t="s">
        <v>69</v>
      </c>
      <c r="B55" s="347" t="s">
        <v>91</v>
      </c>
      <c r="C55" s="407"/>
      <c r="D55" s="407"/>
      <c r="E55" s="407"/>
      <c r="F55" s="407"/>
      <c r="H55" s="320">
        <f>IF(C55="x",DetailedEstWeightedValues!$B155,"0")+IF(D55="x",DetailedEstWeightedValues!$C155,"0")+IF(E55="x",DetailedEstWeightedValues!$D155,"0")+IF(F55="x",DetailedEstWeightedValues!$E155,"0")</f>
        <v>0</v>
      </c>
      <c r="I55" s="320">
        <f>VLOOKUP($A55,DetailedEstWeightedValues!$A$159:$B$161,2,FALSE) * H55</f>
        <v>0</v>
      </c>
      <c r="J55" s="237">
        <v>0</v>
      </c>
      <c r="K55" s="348">
        <f>SUM(I55:J55)</f>
        <v>0</v>
      </c>
    </row>
    <row r="56" spans="1:11" ht="6.6" customHeight="1">
      <c r="A56" s="349"/>
      <c r="B56" s="350"/>
      <c r="C56" s="351"/>
      <c r="D56" s="351"/>
      <c r="E56" s="351"/>
      <c r="F56" s="351"/>
      <c r="G56" s="350"/>
      <c r="H56" s="352"/>
      <c r="I56" s="352"/>
      <c r="J56" s="352"/>
      <c r="K56" s="396"/>
    </row>
    <row r="57" spans="1:11" ht="21.75" customHeight="1" thickBot="1">
      <c r="A57" s="493" t="s">
        <v>357</v>
      </c>
      <c r="B57" s="494"/>
      <c r="C57" s="494"/>
      <c r="D57" s="494"/>
      <c r="E57" s="494"/>
      <c r="F57" s="494"/>
      <c r="G57" s="494"/>
      <c r="H57" s="494"/>
      <c r="I57" s="494"/>
      <c r="J57" s="495"/>
      <c r="K57" s="353">
        <v>10</v>
      </c>
    </row>
    <row r="58" spans="1:11" ht="20.25" customHeight="1">
      <c r="B58" s="142"/>
      <c r="C58" s="124"/>
      <c r="D58" s="124"/>
      <c r="H58" s="163"/>
      <c r="I58" s="163"/>
      <c r="J58" s="163"/>
      <c r="K58" s="163"/>
    </row>
    <row r="59" spans="1:11" ht="6" customHeight="1">
      <c r="A59" s="133"/>
      <c r="B59" s="133"/>
      <c r="C59" s="397"/>
      <c r="D59" s="397"/>
      <c r="E59" s="397"/>
      <c r="F59" s="397"/>
      <c r="G59" s="133"/>
      <c r="H59" s="133"/>
      <c r="I59" s="133"/>
      <c r="J59" s="133"/>
      <c r="K59" s="133"/>
    </row>
    <row r="60" spans="1:11" ht="6" customHeight="1" thickBot="1">
      <c r="A60" s="133"/>
      <c r="B60" s="133"/>
      <c r="C60" s="397"/>
      <c r="D60" s="397"/>
      <c r="E60" s="397"/>
      <c r="F60" s="397"/>
      <c r="G60" s="133"/>
      <c r="H60" s="133"/>
      <c r="I60" s="133"/>
      <c r="J60" s="133"/>
      <c r="K60" s="133"/>
    </row>
    <row r="61" spans="1:11" ht="19.899999999999999" customHeight="1">
      <c r="A61" s="501" t="s">
        <v>383</v>
      </c>
      <c r="B61" s="502"/>
      <c r="C61" s="502"/>
      <c r="D61" s="502"/>
      <c r="E61" s="502"/>
      <c r="F61" s="502"/>
      <c r="G61" s="502"/>
      <c r="H61" s="502"/>
      <c r="I61" s="502"/>
      <c r="J61" s="503"/>
      <c r="K61" s="229">
        <f>SUM(K62:K63)</f>
        <v>10</v>
      </c>
    </row>
    <row r="62" spans="1:11" ht="21.75" customHeight="1">
      <c r="A62" s="496" t="s">
        <v>203</v>
      </c>
      <c r="B62" s="497"/>
      <c r="C62" s="497"/>
      <c r="D62" s="497"/>
      <c r="E62" s="497"/>
      <c r="F62" s="497"/>
      <c r="G62" s="497"/>
      <c r="H62" s="497"/>
      <c r="I62" s="497"/>
      <c r="J62" s="497"/>
      <c r="K62" s="395">
        <v>10</v>
      </c>
    </row>
    <row r="63" spans="1:11" ht="21.75" customHeight="1" thickBot="1">
      <c r="A63" s="498" t="s">
        <v>370</v>
      </c>
      <c r="B63" s="499"/>
      <c r="C63" s="499"/>
      <c r="D63" s="499"/>
      <c r="E63" s="499"/>
      <c r="F63" s="499"/>
      <c r="G63" s="499"/>
      <c r="H63" s="499"/>
      <c r="I63" s="499"/>
      <c r="J63" s="500"/>
      <c r="K63" s="353">
        <v>0</v>
      </c>
    </row>
    <row r="64" spans="1:11" ht="15">
      <c r="B64" s="142"/>
      <c r="C64" s="124"/>
      <c r="D64" s="124"/>
      <c r="H64" s="163"/>
      <c r="I64" s="163"/>
      <c r="J64" s="163"/>
      <c r="K64" s="163"/>
    </row>
    <row r="65" spans="1:11">
      <c r="A65" s="157"/>
      <c r="B65" s="157"/>
      <c r="C65" s="157"/>
      <c r="D65" s="157"/>
      <c r="E65" s="157"/>
      <c r="F65" s="157"/>
      <c r="G65" s="157"/>
      <c r="H65" s="157"/>
      <c r="I65" s="157"/>
      <c r="J65" s="157"/>
      <c r="K65" s="157"/>
    </row>
    <row r="66" spans="1:11" ht="123.75" customHeight="1">
      <c r="B66" s="142" t="s">
        <v>36</v>
      </c>
      <c r="C66" s="489" t="s">
        <v>427</v>
      </c>
      <c r="D66" s="490"/>
      <c r="E66" s="490"/>
      <c r="F66" s="490"/>
      <c r="G66" s="490"/>
      <c r="H66" s="490"/>
      <c r="I66" s="490"/>
      <c r="J66" s="490"/>
      <c r="K66" s="491"/>
    </row>
    <row r="67" spans="1:11">
      <c r="A67" s="157"/>
      <c r="B67" s="157"/>
      <c r="C67" s="157"/>
      <c r="D67" s="157"/>
      <c r="E67" s="157"/>
      <c r="F67" s="157"/>
      <c r="G67" s="157"/>
      <c r="H67" s="157"/>
      <c r="I67" s="157"/>
      <c r="J67" s="157"/>
      <c r="K67" s="157"/>
    </row>
    <row r="68" spans="1:11" ht="139.69999999999999" customHeight="1">
      <c r="B68" s="205" t="s">
        <v>272</v>
      </c>
      <c r="C68" s="489" t="s">
        <v>428</v>
      </c>
      <c r="D68" s="490"/>
      <c r="E68" s="490"/>
      <c r="F68" s="490"/>
      <c r="G68" s="490"/>
      <c r="H68" s="490"/>
      <c r="I68" s="490"/>
      <c r="J68" s="490"/>
      <c r="K68" s="491"/>
    </row>
  </sheetData>
  <sheetProtection algorithmName="SHA-512" hashValue="2BrR4RQBWk/Hz07h/Lw29gsDBiXoLPKFmfqaa/dn6xd3kVogZnbB1ThLjNK718Dbu1HKgkEewEoqXwepo4AYEA==" saltValue="Tm4mtGmLpvU7rTkv6+ZFcw==" spinCount="100000" sheet="1" selectLockedCells="1"/>
  <mergeCells count="9">
    <mergeCell ref="B5:F5"/>
    <mergeCell ref="C66:K66"/>
    <mergeCell ref="C68:K68"/>
    <mergeCell ref="C8:F8"/>
    <mergeCell ref="A57:J57"/>
    <mergeCell ref="A62:J62"/>
    <mergeCell ref="A63:J63"/>
    <mergeCell ref="A61:J61"/>
    <mergeCell ref="C43:G43"/>
  </mergeCells>
  <dataValidations count="2">
    <dataValidation type="list" allowBlank="1" showInputMessage="1" showErrorMessage="1" sqref="A64 A41 A58" xr:uid="{00000000-0002-0000-0300-000000000000}">
      <formula1>"New to Area, Experienced, Expert"</formula1>
    </dataValidation>
    <dataValidation type="list" allowBlank="1" showInputMessage="1" showErrorMessage="1" sqref="A40" xr:uid="{00000000-0002-0000-0300-000001000000}">
      <formula1>"Select a level, New to Area, Proficient, Expert"</formula1>
    </dataValidation>
  </dataValidations>
  <pageMargins left="0.75" right="0.75" top="1" bottom="1" header="0.5" footer="0.5"/>
  <pageSetup scale="65" fitToHeight="0" orientation="landscape" r:id="rId1"/>
  <headerFooter scaleWithDoc="0" alignWithMargins="0">
    <oddHeader xml:space="preserve">&amp;LBA Testing Worksheet&amp;RPA PROMISE </oddHeader>
    <oddFooter>&amp;L&amp;F&amp;C&amp;P&amp;R&amp;D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54"/>
  <sheetViews>
    <sheetView showGridLines="0" topLeftCell="A8" zoomScaleNormal="100" workbookViewId="0">
      <selection activeCell="B7" sqref="B7:D7"/>
    </sheetView>
  </sheetViews>
  <sheetFormatPr defaultColWidth="8.42578125" defaultRowHeight="12.75"/>
  <cols>
    <col min="1" max="1" width="62.42578125" customWidth="1"/>
    <col min="2" max="3" width="10.42578125" customWidth="1"/>
    <col min="4" max="4" width="20.42578125" customWidth="1"/>
    <col min="5" max="5" width="10.42578125" customWidth="1"/>
    <col min="6" max="6" width="11.42578125" customWidth="1"/>
    <col min="7" max="7" width="10.42578125" customWidth="1"/>
    <col min="8" max="8" width="10.42578125" style="291" customWidth="1"/>
    <col min="9" max="9" width="10.42578125" customWidth="1"/>
    <col min="10" max="10" width="13" style="291" customWidth="1"/>
  </cols>
  <sheetData>
    <row r="1" spans="1:10" ht="15.75">
      <c r="A1" s="409" t="str">
        <f>InitialEstimate!A1</f>
        <v>Template Version:</v>
      </c>
      <c r="B1" s="410">
        <f>InitialEstimate!B1</f>
        <v>2.9</v>
      </c>
    </row>
    <row r="2" spans="1:10" ht="20.25">
      <c r="A2" s="255" t="s">
        <v>109</v>
      </c>
      <c r="B2" s="256"/>
    </row>
    <row r="4" spans="1:10" ht="20.45" customHeight="1">
      <c r="A4" s="257" t="s">
        <v>110</v>
      </c>
      <c r="B4" s="507" t="str">
        <f>InitialEstimate!F3</f>
        <v>CO 23810 003</v>
      </c>
      <c r="C4" s="507"/>
    </row>
    <row r="5" spans="1:10" ht="43.15" customHeight="1">
      <c r="A5" s="2" t="s">
        <v>20</v>
      </c>
      <c r="B5" s="465" t="s">
        <v>237</v>
      </c>
      <c r="C5" s="465"/>
      <c r="D5" s="465"/>
      <c r="E5" s="465"/>
      <c r="F5" s="465"/>
      <c r="G5" s="465"/>
      <c r="H5" s="465"/>
      <c r="I5" s="465"/>
    </row>
    <row r="6" spans="1:10" ht="15.6" customHeight="1">
      <c r="A6" s="2"/>
      <c r="B6" s="280"/>
      <c r="C6" s="280"/>
      <c r="D6" s="280"/>
      <c r="E6" s="280"/>
      <c r="F6" s="280"/>
    </row>
    <row r="7" spans="1:10" ht="15">
      <c r="A7" s="408" t="s">
        <v>111</v>
      </c>
      <c r="B7" s="506" t="s">
        <v>432</v>
      </c>
      <c r="C7" s="506"/>
      <c r="D7" s="506"/>
    </row>
    <row r="10" spans="1:10" ht="31.9" customHeight="1">
      <c r="A10" s="259" t="s">
        <v>96</v>
      </c>
      <c r="B10" s="258" t="s">
        <v>115</v>
      </c>
      <c r="C10" s="258" t="s">
        <v>6</v>
      </c>
      <c r="D10" s="260"/>
      <c r="E10" s="258" t="s">
        <v>112</v>
      </c>
      <c r="F10" s="258"/>
      <c r="G10" s="292" t="s">
        <v>114</v>
      </c>
      <c r="H10" s="258" t="s">
        <v>80</v>
      </c>
      <c r="I10" s="292" t="s">
        <v>81</v>
      </c>
    </row>
    <row r="11" spans="1:10" ht="13.5" customHeight="1">
      <c r="A11" s="6"/>
      <c r="B11" s="5"/>
      <c r="C11" s="5"/>
      <c r="D11" s="7"/>
      <c r="E11" s="5"/>
      <c r="F11" s="5"/>
      <c r="G11" s="293"/>
      <c r="H11" s="5"/>
      <c r="I11" s="293"/>
    </row>
    <row r="12" spans="1:10" ht="21.6" customHeight="1">
      <c r="A12" s="369" t="s">
        <v>95</v>
      </c>
      <c r="B12" s="369"/>
      <c r="C12" s="369"/>
      <c r="D12" s="369"/>
      <c r="E12" s="369"/>
      <c r="F12" s="370"/>
      <c r="G12" s="354">
        <f>SUM(G14:G21,D23,D31,D35)</f>
        <v>187.5</v>
      </c>
      <c r="H12" s="354">
        <f>SUM(H14:H21)</f>
        <v>0</v>
      </c>
      <c r="I12" s="354">
        <f>SUM(I14:I21,D23,D31,D35)</f>
        <v>187.5</v>
      </c>
    </row>
    <row r="13" spans="1:10" ht="13.5" customHeight="1" thickBot="1">
      <c r="A13" s="5"/>
      <c r="B13" s="8"/>
      <c r="C13" s="8"/>
      <c r="D13" s="8"/>
      <c r="E13" s="8"/>
      <c r="F13" s="8"/>
      <c r="G13" s="8"/>
      <c r="H13" s="10"/>
      <c r="I13" s="10"/>
      <c r="J13" s="10"/>
    </row>
    <row r="14" spans="1:10" ht="73.5">
      <c r="A14" s="375" t="s">
        <v>327</v>
      </c>
      <c r="B14" s="426">
        <v>6</v>
      </c>
      <c r="C14" s="376"/>
      <c r="D14" s="424" t="s">
        <v>113</v>
      </c>
      <c r="E14" s="425">
        <v>5</v>
      </c>
      <c r="F14" s="377"/>
      <c r="G14" s="378">
        <f>B14*1*E14</f>
        <v>30</v>
      </c>
      <c r="H14" s="379">
        <v>0</v>
      </c>
      <c r="I14" s="380">
        <f>G14+H14</f>
        <v>30</v>
      </c>
      <c r="J14"/>
    </row>
    <row r="15" spans="1:10" ht="26.25" thickBot="1">
      <c r="A15" s="381" t="s">
        <v>332</v>
      </c>
      <c r="B15" s="382"/>
      <c r="C15" s="383">
        <v>0.5</v>
      </c>
      <c r="D15" s="382"/>
      <c r="E15" s="382"/>
      <c r="F15" s="382"/>
      <c r="G15" s="384">
        <f>C15*E14*B14</f>
        <v>15</v>
      </c>
      <c r="H15" s="385">
        <v>0</v>
      </c>
      <c r="I15" s="386">
        <f>G15+H15</f>
        <v>15</v>
      </c>
      <c r="J15"/>
    </row>
    <row r="16" spans="1:10" ht="13.5" thickBot="1">
      <c r="A16" s="4"/>
      <c r="B16" s="4"/>
      <c r="C16" s="11"/>
      <c r="D16" s="4"/>
      <c r="E16" s="4"/>
      <c r="F16" s="4"/>
      <c r="G16" s="294"/>
      <c r="H16" s="92"/>
      <c r="I16" s="294"/>
      <c r="J16"/>
    </row>
    <row r="17" spans="1:10" ht="72">
      <c r="A17" s="375" t="s">
        <v>325</v>
      </c>
      <c r="B17" s="426">
        <v>0</v>
      </c>
      <c r="C17" s="376"/>
      <c r="D17" s="424" t="s">
        <v>113</v>
      </c>
      <c r="E17" s="425">
        <v>0</v>
      </c>
      <c r="F17" s="377"/>
      <c r="G17" s="378">
        <f>B17*1*E17</f>
        <v>0</v>
      </c>
      <c r="H17" s="379">
        <v>0</v>
      </c>
      <c r="I17" s="380">
        <f>G17+H17</f>
        <v>0</v>
      </c>
      <c r="J17"/>
    </row>
    <row r="18" spans="1:10" ht="26.25" thickBot="1">
      <c r="A18" s="381" t="s">
        <v>333</v>
      </c>
      <c r="B18" s="382"/>
      <c r="C18" s="383">
        <v>0</v>
      </c>
      <c r="D18" s="382"/>
      <c r="E18" s="382"/>
      <c r="F18" s="382"/>
      <c r="G18" s="384">
        <f>C18*E17*B17</f>
        <v>0</v>
      </c>
      <c r="H18" s="385">
        <v>0</v>
      </c>
      <c r="I18" s="386">
        <f>G18+H18</f>
        <v>0</v>
      </c>
      <c r="J18"/>
    </row>
    <row r="19" spans="1:10" ht="13.5" thickBot="1">
      <c r="A19" s="4"/>
      <c r="B19" s="4"/>
      <c r="C19" s="11"/>
      <c r="D19" s="4"/>
      <c r="E19" s="4"/>
      <c r="F19" s="4"/>
      <c r="G19" s="294"/>
      <c r="H19" s="91"/>
      <c r="I19" s="294"/>
      <c r="J19"/>
    </row>
    <row r="20" spans="1:10" ht="57.75">
      <c r="A20" s="375" t="s">
        <v>326</v>
      </c>
      <c r="B20" s="426">
        <v>0</v>
      </c>
      <c r="C20" s="376"/>
      <c r="D20" s="424" t="s">
        <v>113</v>
      </c>
      <c r="E20" s="425">
        <v>0</v>
      </c>
      <c r="F20" s="377"/>
      <c r="G20" s="378">
        <f>B20*1*E20</f>
        <v>0</v>
      </c>
      <c r="H20" s="379">
        <v>0</v>
      </c>
      <c r="I20" s="380">
        <f>G20+H20</f>
        <v>0</v>
      </c>
      <c r="J20"/>
    </row>
    <row r="21" spans="1:10" ht="26.25" thickBot="1">
      <c r="A21" s="381" t="s">
        <v>331</v>
      </c>
      <c r="B21" s="387"/>
      <c r="C21" s="383">
        <v>0</v>
      </c>
      <c r="D21" s="382"/>
      <c r="E21" s="382"/>
      <c r="F21" s="382"/>
      <c r="G21" s="384">
        <f>C21*E20*B20</f>
        <v>0</v>
      </c>
      <c r="H21" s="385">
        <v>0</v>
      </c>
      <c r="I21" s="386">
        <f>G21+H21</f>
        <v>0</v>
      </c>
      <c r="J21"/>
    </row>
    <row r="22" spans="1:10" ht="25.15" customHeight="1" thickBot="1">
      <c r="A22" s="4"/>
      <c r="B22" s="4"/>
      <c r="C22" s="4"/>
      <c r="D22" s="4"/>
      <c r="E22" s="4"/>
      <c r="F22" s="4"/>
      <c r="G22" s="4"/>
      <c r="H22" s="294"/>
      <c r="I22" s="91"/>
      <c r="J22" s="294"/>
    </row>
    <row r="23" spans="1:10" ht="29.45" customHeight="1">
      <c r="A23" s="527" t="s">
        <v>168</v>
      </c>
      <c r="B23" s="528"/>
      <c r="C23" s="388"/>
      <c r="D23" s="389">
        <f>SUM(D24:D28)</f>
        <v>30</v>
      </c>
      <c r="E23" s="4"/>
      <c r="F23" s="11"/>
      <c r="G23" s="4"/>
      <c r="H23" s="295"/>
      <c r="J23" s="294"/>
    </row>
    <row r="24" spans="1:10" s="310" customFormat="1" ht="14.25">
      <c r="A24" s="519" t="s">
        <v>429</v>
      </c>
      <c r="B24" s="520"/>
      <c r="C24" s="11"/>
      <c r="D24" s="390">
        <v>15</v>
      </c>
      <c r="E24" s="11"/>
      <c r="F24" s="11"/>
      <c r="G24" s="11"/>
      <c r="H24" s="291"/>
      <c r="I24"/>
      <c r="J24" s="291"/>
    </row>
    <row r="25" spans="1:10" s="310" customFormat="1" ht="14.25">
      <c r="A25" s="519" t="s">
        <v>430</v>
      </c>
      <c r="B25" s="520"/>
      <c r="C25" s="11"/>
      <c r="D25" s="390">
        <v>15</v>
      </c>
      <c r="E25" s="11"/>
      <c r="F25" s="11"/>
      <c r="G25" s="11"/>
      <c r="H25" s="291"/>
      <c r="I25"/>
      <c r="J25" s="291"/>
    </row>
    <row r="26" spans="1:10" s="310" customFormat="1" ht="14.25">
      <c r="A26" s="519" t="s">
        <v>279</v>
      </c>
      <c r="B26" s="520"/>
      <c r="C26" s="11"/>
      <c r="D26" s="390">
        <v>0</v>
      </c>
      <c r="E26" s="11"/>
      <c r="F26" s="11"/>
      <c r="G26" s="11"/>
      <c r="H26" s="291"/>
      <c r="I26"/>
      <c r="J26" s="291"/>
    </row>
    <row r="27" spans="1:10" s="310" customFormat="1" ht="14.25">
      <c r="A27" s="519" t="s">
        <v>251</v>
      </c>
      <c r="B27" s="520"/>
      <c r="C27" s="11"/>
      <c r="D27" s="390">
        <v>0</v>
      </c>
      <c r="E27" s="11"/>
      <c r="F27" s="11"/>
      <c r="G27" s="11"/>
      <c r="H27" s="291"/>
      <c r="I27"/>
      <c r="J27" s="291"/>
    </row>
    <row r="28" spans="1:10" s="310" customFormat="1" ht="15" thickBot="1">
      <c r="A28" s="521" t="s">
        <v>270</v>
      </c>
      <c r="B28" s="522"/>
      <c r="C28" s="387"/>
      <c r="D28" s="391">
        <v>0</v>
      </c>
      <c r="E28" s="11"/>
      <c r="F28" s="11"/>
      <c r="G28" s="11"/>
      <c r="H28" s="291"/>
      <c r="I28"/>
      <c r="J28" s="291"/>
    </row>
    <row r="29" spans="1:10">
      <c r="H29" s="296"/>
      <c r="I29" s="93"/>
      <c r="J29" s="296"/>
    </row>
    <row r="30" spans="1:10" ht="25.15" customHeight="1" thickBot="1">
      <c r="H30" s="296"/>
      <c r="I30" s="93"/>
      <c r="J30" s="296"/>
    </row>
    <row r="31" spans="1:10" ht="15.75">
      <c r="A31" s="527" t="s">
        <v>363</v>
      </c>
      <c r="B31" s="528"/>
      <c r="C31" s="388"/>
      <c r="D31" s="389">
        <f>SUM(D32:D33)</f>
        <v>7.5</v>
      </c>
      <c r="H31" s="296"/>
      <c r="I31" s="93"/>
      <c r="J31" s="296"/>
    </row>
    <row r="32" spans="1:10" ht="29.45" customHeight="1">
      <c r="A32" s="525" t="s">
        <v>361</v>
      </c>
      <c r="B32" s="526"/>
      <c r="D32" s="390">
        <v>2.5</v>
      </c>
    </row>
    <row r="33" spans="1:10" ht="29.45" customHeight="1" thickBot="1">
      <c r="A33" s="523" t="s">
        <v>362</v>
      </c>
      <c r="B33" s="524"/>
      <c r="C33" s="392"/>
      <c r="D33" s="391">
        <v>5</v>
      </c>
    </row>
    <row r="34" spans="1:10" ht="25.15" customHeight="1" thickBot="1"/>
    <row r="35" spans="1:10" ht="40.5" customHeight="1" thickBot="1">
      <c r="A35" s="517" t="s">
        <v>170</v>
      </c>
      <c r="B35" s="518"/>
      <c r="C35" s="393"/>
      <c r="D35" s="394">
        <v>105</v>
      </c>
    </row>
    <row r="37" spans="1:10" ht="15" customHeight="1"/>
    <row r="38" spans="1:10">
      <c r="A38" s="297"/>
      <c r="B38" s="297"/>
      <c r="C38" s="297"/>
      <c r="D38" s="297"/>
      <c r="E38" s="297"/>
      <c r="F38" s="297"/>
      <c r="G38" s="297"/>
      <c r="H38" s="298"/>
      <c r="I38" s="297"/>
      <c r="J38" s="298"/>
    </row>
    <row r="39" spans="1:10" ht="28.15" customHeight="1">
      <c r="A39" s="529" t="s">
        <v>173</v>
      </c>
      <c r="B39" s="529"/>
      <c r="C39" s="508" t="s">
        <v>431</v>
      </c>
      <c r="D39" s="509"/>
      <c r="E39" s="509"/>
      <c r="F39" s="509"/>
      <c r="G39" s="509"/>
      <c r="H39" s="509"/>
      <c r="I39" s="509"/>
      <c r="J39" s="510"/>
    </row>
    <row r="40" spans="1:10" ht="21.4" customHeight="1">
      <c r="A40" s="529"/>
      <c r="B40" s="529"/>
      <c r="C40" s="511"/>
      <c r="D40" s="512"/>
      <c r="E40" s="512"/>
      <c r="F40" s="512"/>
      <c r="G40" s="512"/>
      <c r="H40" s="512"/>
      <c r="I40" s="512"/>
      <c r="J40" s="513"/>
    </row>
    <row r="41" spans="1:10" ht="21.4" customHeight="1">
      <c r="A41" s="529"/>
      <c r="B41" s="529"/>
      <c r="C41" s="511"/>
      <c r="D41" s="512"/>
      <c r="E41" s="512"/>
      <c r="F41" s="512"/>
      <c r="G41" s="512"/>
      <c r="H41" s="512"/>
      <c r="I41" s="512"/>
      <c r="J41" s="513"/>
    </row>
    <row r="42" spans="1:10" ht="21.4" customHeight="1">
      <c r="A42" s="529"/>
      <c r="B42" s="529"/>
      <c r="C42" s="511"/>
      <c r="D42" s="512"/>
      <c r="E42" s="512"/>
      <c r="F42" s="512"/>
      <c r="G42" s="512"/>
      <c r="H42" s="512"/>
      <c r="I42" s="512"/>
      <c r="J42" s="513"/>
    </row>
    <row r="43" spans="1:10" ht="21.4" customHeight="1">
      <c r="A43" s="529"/>
      <c r="B43" s="529"/>
      <c r="C43" s="511"/>
      <c r="D43" s="512"/>
      <c r="E43" s="512"/>
      <c r="F43" s="512"/>
      <c r="G43" s="512"/>
      <c r="H43" s="512"/>
      <c r="I43" s="512"/>
      <c r="J43" s="513"/>
    </row>
    <row r="44" spans="1:10" ht="21.4" customHeight="1">
      <c r="A44" s="529"/>
      <c r="B44" s="529"/>
      <c r="C44" s="511"/>
      <c r="D44" s="512"/>
      <c r="E44" s="512"/>
      <c r="F44" s="512"/>
      <c r="G44" s="512"/>
      <c r="H44" s="512"/>
      <c r="I44" s="512"/>
      <c r="J44" s="513"/>
    </row>
    <row r="45" spans="1:10" ht="21.4" customHeight="1">
      <c r="A45" s="529"/>
      <c r="B45" s="529"/>
      <c r="C45" s="514"/>
      <c r="D45" s="515"/>
      <c r="E45" s="515"/>
      <c r="F45" s="515"/>
      <c r="G45" s="515"/>
      <c r="H45" s="515"/>
      <c r="I45" s="515"/>
      <c r="J45" s="516"/>
    </row>
    <row r="46" spans="1:10" ht="8.1" customHeight="1">
      <c r="A46" s="3"/>
      <c r="B46" s="3"/>
      <c r="C46" s="3"/>
      <c r="D46" s="3"/>
      <c r="E46" s="3"/>
      <c r="F46" s="3"/>
      <c r="G46" s="3"/>
      <c r="H46" s="3"/>
      <c r="I46" s="3"/>
      <c r="J46" s="3"/>
    </row>
    <row r="47" spans="1:10" ht="27.75" customHeight="1">
      <c r="A47" s="529" t="s">
        <v>169</v>
      </c>
      <c r="B47" s="529"/>
      <c r="C47" s="508"/>
      <c r="D47" s="509"/>
      <c r="E47" s="509"/>
      <c r="F47" s="509"/>
      <c r="G47" s="509"/>
      <c r="H47" s="509"/>
      <c r="I47" s="509"/>
      <c r="J47" s="510"/>
    </row>
    <row r="48" spans="1:10" ht="13.5" customHeight="1">
      <c r="A48" s="529"/>
      <c r="B48" s="529"/>
      <c r="C48" s="511"/>
      <c r="D48" s="512"/>
      <c r="E48" s="512"/>
      <c r="F48" s="512"/>
      <c r="G48" s="512"/>
      <c r="H48" s="512"/>
      <c r="I48" s="512"/>
      <c r="J48" s="513"/>
    </row>
    <row r="49" spans="1:10" ht="13.5" customHeight="1">
      <c r="A49" s="529"/>
      <c r="B49" s="529"/>
      <c r="C49" s="511"/>
      <c r="D49" s="512"/>
      <c r="E49" s="512"/>
      <c r="F49" s="512"/>
      <c r="G49" s="512"/>
      <c r="H49" s="512"/>
      <c r="I49" s="512"/>
      <c r="J49" s="513"/>
    </row>
    <row r="50" spans="1:10" ht="13.5" customHeight="1">
      <c r="A50" s="529"/>
      <c r="B50" s="529"/>
      <c r="C50" s="511"/>
      <c r="D50" s="512"/>
      <c r="E50" s="512"/>
      <c r="F50" s="512"/>
      <c r="G50" s="512"/>
      <c r="H50" s="512"/>
      <c r="I50" s="512"/>
      <c r="J50" s="513"/>
    </row>
    <row r="51" spans="1:10" ht="13.5" customHeight="1">
      <c r="A51" s="529"/>
      <c r="B51" s="529"/>
      <c r="C51" s="511"/>
      <c r="D51" s="512"/>
      <c r="E51" s="512"/>
      <c r="F51" s="512"/>
      <c r="G51" s="512"/>
      <c r="H51" s="512"/>
      <c r="I51" s="512"/>
      <c r="J51" s="513"/>
    </row>
    <row r="52" spans="1:10" ht="13.5" customHeight="1">
      <c r="A52" s="529"/>
      <c r="B52" s="529"/>
      <c r="C52" s="511"/>
      <c r="D52" s="512"/>
      <c r="E52" s="512"/>
      <c r="F52" s="512"/>
      <c r="G52" s="512"/>
      <c r="H52" s="512"/>
      <c r="I52" s="512"/>
      <c r="J52" s="513"/>
    </row>
    <row r="53" spans="1:10" ht="13.5" customHeight="1">
      <c r="A53" s="529"/>
      <c r="B53" s="529"/>
      <c r="C53" s="511"/>
      <c r="D53" s="512"/>
      <c r="E53" s="512"/>
      <c r="F53" s="512"/>
      <c r="G53" s="512"/>
      <c r="H53" s="512"/>
      <c r="I53" s="512"/>
      <c r="J53" s="513"/>
    </row>
    <row r="54" spans="1:10" ht="13.5" customHeight="1">
      <c r="A54" s="529"/>
      <c r="B54" s="529"/>
      <c r="C54" s="514"/>
      <c r="D54" s="515"/>
      <c r="E54" s="515"/>
      <c r="F54" s="515"/>
      <c r="G54" s="515"/>
      <c r="H54" s="515"/>
      <c r="I54" s="515"/>
      <c r="J54" s="516"/>
    </row>
  </sheetData>
  <sheetProtection algorithmName="SHA-512" hashValue="YsG3dS947NUAr6P4LxyakOdbUcJbKae3VkeHdkOY+EGVSCWl1z4+SNqeTSC4R+n9WmZbgJTYEg38iKP+F3jc1g==" saltValue="JyDbIqH8BEQkgo1jOvZ3XQ==" spinCount="100000" sheet="1" selectLockedCells="1"/>
  <protectedRanges>
    <protectedRange algorithmName="SHA-512" hashValue="8SDVFCv/4YOmpl9DcAozE7BuR26PcW8AjS8D5QJvUP9/lzP3XDqxhOlJgYrGImzQB8VF5Kl1dzoRTh4VdtUmIw==" saltValue="j53QQfYzuYBKoQflLUws8Q==" spinCount="100000" sqref="B39:B47 A39 A46:A47" name="Range5"/>
    <protectedRange sqref="A23 A35 B33:B39 A33 A32:B32 A14:A21 A31 B22 A39" name="Range3"/>
    <protectedRange algorithmName="SHA-512" hashValue="ifQanlCrKxnvvuP0wclMmw4fnYJl8vXEmWXXVnWgJ4Am5LrXZXXv8DDBXp+vco/6YXHQW8iMagbSLBlokh2gzA==" saltValue="ozOHgDfJZUVehfTP/2EeJg==" spinCount="100000" sqref="D23 D31 A10:I12 A13:J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H29:H31 I14:I21 J29:J31 D14:D21 D30 G14:G21 H22:H23 E22:E38 J22:J23" name="Range4"/>
    <protectedRange sqref="G14:G21 G10:G12 H22:H1048576 H1:H9 H13" name="Range6"/>
    <protectedRange sqref="D23 D31 I14:I21 I10:I12 J22:J1048576 J1:J9 J13" name="Range8"/>
  </protectedRanges>
  <mergeCells count="17">
    <mergeCell ref="A47:B54"/>
    <mergeCell ref="B7:D7"/>
    <mergeCell ref="B5:I5"/>
    <mergeCell ref="B4:C4"/>
    <mergeCell ref="C39:J45"/>
    <mergeCell ref="C47:J54"/>
    <mergeCell ref="A35:B35"/>
    <mergeCell ref="A24:B24"/>
    <mergeCell ref="A25:B25"/>
    <mergeCell ref="A26:B26"/>
    <mergeCell ref="A27:B27"/>
    <mergeCell ref="A28:B28"/>
    <mergeCell ref="A33:B33"/>
    <mergeCell ref="A32:B32"/>
    <mergeCell ref="A23:B23"/>
    <mergeCell ref="A31:B31"/>
    <mergeCell ref="A39:B45"/>
  </mergeCells>
  <pageMargins left="0.25" right="0.25" top="0.75" bottom="0.5" header="0.3" footer="0.3"/>
  <pageSetup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38100</xdr:colOff>
                    <xdr:row>28</xdr:row>
                    <xdr:rowOff>38100</xdr:rowOff>
                  </from>
                  <to>
                    <xdr:col>0</xdr:col>
                    <xdr:colOff>2114550</xdr:colOff>
                    <xdr:row>29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50"/>
  <sheetViews>
    <sheetView showGridLines="0" zoomScaleNormal="100" workbookViewId="0">
      <selection activeCell="B35" sqref="B35"/>
    </sheetView>
  </sheetViews>
  <sheetFormatPr defaultRowHeight="12.75"/>
  <cols>
    <col min="1" max="1" width="49.42578125" customWidth="1"/>
    <col min="2" max="2" width="19" customWidth="1"/>
    <col min="3" max="3" width="22.42578125" customWidth="1"/>
    <col min="4" max="4" width="19.42578125" customWidth="1"/>
    <col min="5" max="5" width="22.42578125" customWidth="1"/>
    <col min="6" max="6" width="13.42578125" customWidth="1"/>
  </cols>
  <sheetData>
    <row r="1" spans="1:6" ht="15.75">
      <c r="A1" s="409" t="s">
        <v>176</v>
      </c>
      <c r="B1" s="531">
        <f>InitialEstimate!B1</f>
        <v>2.9</v>
      </c>
      <c r="C1" s="531"/>
      <c r="D1" s="9"/>
      <c r="E1" s="9"/>
    </row>
    <row r="2" spans="1:6" ht="20.25">
      <c r="A2" s="210" t="s">
        <v>22</v>
      </c>
      <c r="B2" s="530" t="str">
        <f>InitialEstimate!F3</f>
        <v>CO 23810 003</v>
      </c>
      <c r="C2" s="530"/>
      <c r="D2" s="9"/>
      <c r="E2" s="9"/>
    </row>
    <row r="3" spans="1:6" ht="264.75" customHeight="1">
      <c r="A3" s="175" t="s">
        <v>20</v>
      </c>
      <c r="B3" s="465" t="s">
        <v>330</v>
      </c>
      <c r="C3" s="465"/>
      <c r="D3" s="465"/>
      <c r="E3" s="465"/>
      <c r="F3" s="465"/>
    </row>
    <row r="4" spans="1:6" ht="18">
      <c r="A4" s="417" t="s">
        <v>225</v>
      </c>
      <c r="B4" s="417"/>
      <c r="C4" s="417"/>
      <c r="D4" s="418" t="s">
        <v>189</v>
      </c>
      <c r="E4" s="419">
        <f>ROUNDUP(SUM(E5+E6),0)</f>
        <v>309</v>
      </c>
    </row>
    <row r="5" spans="1:6" s="207" customFormat="1" ht="18">
      <c r="A5" s="420" t="s">
        <v>235</v>
      </c>
      <c r="B5" s="532">
        <v>46120</v>
      </c>
      <c r="C5" s="533"/>
      <c r="D5" s="533"/>
      <c r="E5" s="357">
        <v>208.75</v>
      </c>
    </row>
    <row r="6" spans="1:6" s="207" customFormat="1" ht="18">
      <c r="A6" s="422" t="s">
        <v>167</v>
      </c>
      <c r="B6" s="534"/>
      <c r="C6" s="535"/>
      <c r="D6" s="535"/>
      <c r="E6" s="421">
        <f>MROUND(SUM(F8+F17+F26+D31+D34), 0.25)</f>
        <v>100</v>
      </c>
    </row>
    <row r="8" spans="1:6" s="289" customFormat="1" ht="18">
      <c r="A8" s="244" t="s">
        <v>226</v>
      </c>
      <c r="B8" s="244"/>
      <c r="C8" s="287" t="s">
        <v>167</v>
      </c>
      <c r="D8" s="287" t="s">
        <v>233</v>
      </c>
      <c r="E8" s="288" t="s">
        <v>189</v>
      </c>
      <c r="F8" s="264">
        <f>SUM(E10:E15)</f>
        <v>5</v>
      </c>
    </row>
    <row r="9" spans="1:6" ht="18">
      <c r="A9" s="263"/>
      <c r="B9" s="263"/>
      <c r="C9" s="261"/>
      <c r="D9" s="262"/>
      <c r="E9" s="262"/>
      <c r="F9" s="262"/>
    </row>
    <row r="10" spans="1:6" ht="25.5">
      <c r="A10" s="356" t="s">
        <v>254</v>
      </c>
      <c r="B10" s="331"/>
      <c r="C10" s="357">
        <v>0</v>
      </c>
      <c r="D10" s="364"/>
      <c r="E10" s="365">
        <f>C10</f>
        <v>0</v>
      </c>
    </row>
    <row r="11" spans="1:6" ht="122.25" customHeight="1">
      <c r="A11" s="316" t="s">
        <v>280</v>
      </c>
    </row>
    <row r="12" spans="1:6" ht="25.5">
      <c r="A12" s="362" t="s">
        <v>252</v>
      </c>
      <c r="B12" s="331"/>
      <c r="C12" s="357">
        <v>0</v>
      </c>
      <c r="D12" s="364"/>
      <c r="E12" s="365">
        <f t="shared" ref="E12:E13" si="0">(C12+D12)</f>
        <v>0</v>
      </c>
    </row>
    <row r="13" spans="1:6" ht="149.25" customHeight="1">
      <c r="A13" s="356" t="s">
        <v>282</v>
      </c>
      <c r="B13" s="331"/>
      <c r="C13" s="363">
        <f>'Dtl SE_ModuleDoco'!J11*0.7</f>
        <v>6.6499999999999995</v>
      </c>
      <c r="D13" s="357">
        <f>C13*-1</f>
        <v>-6.6499999999999995</v>
      </c>
      <c r="E13" s="360">
        <f t="shared" si="0"/>
        <v>0</v>
      </c>
    </row>
    <row r="14" spans="1:6" ht="25.5">
      <c r="A14" s="356" t="s">
        <v>253</v>
      </c>
      <c r="B14" s="331"/>
      <c r="C14" s="357">
        <v>0</v>
      </c>
      <c r="D14" s="364"/>
      <c r="E14" s="365">
        <f>(C14+D14)</f>
        <v>0</v>
      </c>
    </row>
    <row r="15" spans="1:6" ht="178.5">
      <c r="A15" s="356" t="s">
        <v>417</v>
      </c>
      <c r="B15" s="331"/>
      <c r="C15" s="363">
        <f>'Dtl SE_ModuleDoco'!I85</f>
        <v>5</v>
      </c>
      <c r="D15" s="357">
        <v>0</v>
      </c>
      <c r="E15" s="360">
        <f>(C15+D15)</f>
        <v>5</v>
      </c>
    </row>
    <row r="17" spans="1:6" s="289" customFormat="1" ht="18">
      <c r="A17" s="244" t="s">
        <v>120</v>
      </c>
      <c r="B17" s="244"/>
      <c r="C17" s="287" t="s">
        <v>167</v>
      </c>
      <c r="D17" s="287" t="s">
        <v>233</v>
      </c>
      <c r="E17" s="288" t="s">
        <v>189</v>
      </c>
      <c r="F17" s="265">
        <f>SUM(E18:E23)</f>
        <v>70</v>
      </c>
    </row>
    <row r="18" spans="1:6" ht="89.25">
      <c r="A18" s="356" t="s">
        <v>255</v>
      </c>
      <c r="B18" s="331"/>
      <c r="C18" s="357">
        <v>0</v>
      </c>
      <c r="D18" s="364"/>
      <c r="E18" s="365">
        <f>SUM(C18+D18)</f>
        <v>0</v>
      </c>
    </row>
    <row r="19" spans="1:6" ht="102">
      <c r="A19" s="356" t="s">
        <v>256</v>
      </c>
      <c r="B19" s="331"/>
      <c r="C19" s="357">
        <v>0</v>
      </c>
      <c r="D19" s="364"/>
      <c r="E19" s="365">
        <f>(C19+D19)</f>
        <v>0</v>
      </c>
    </row>
    <row r="20" spans="1:6" ht="25.5">
      <c r="A20" s="356" t="s">
        <v>266</v>
      </c>
      <c r="B20" s="331"/>
      <c r="C20" s="357">
        <v>0</v>
      </c>
      <c r="D20" s="364"/>
      <c r="E20" s="365">
        <f t="shared" ref="E20:E23" si="1">(C20+D20)</f>
        <v>0</v>
      </c>
    </row>
    <row r="21" spans="1:6" ht="178.5">
      <c r="A21" s="356" t="s">
        <v>283</v>
      </c>
      <c r="B21" s="331"/>
      <c r="C21" s="358">
        <f>SUM('Dtl BA_Considerations'!K18:K21,'Dtl BA_Considerations'!K26:K29,'Dtl BA_Considerations'!K34:K37)</f>
        <v>282.1875</v>
      </c>
      <c r="D21" s="357">
        <f>C21*-1</f>
        <v>-282.1875</v>
      </c>
      <c r="E21" s="361">
        <f t="shared" si="1"/>
        <v>0</v>
      </c>
    </row>
    <row r="22" spans="1:6" ht="141" customHeight="1">
      <c r="A22" s="356" t="s">
        <v>385</v>
      </c>
      <c r="B22" s="331"/>
      <c r="C22" s="358">
        <f>'Dtl BA_Considerations'!K63</f>
        <v>0</v>
      </c>
      <c r="D22" s="357">
        <v>10</v>
      </c>
      <c r="E22" s="361">
        <f t="shared" si="1"/>
        <v>10</v>
      </c>
    </row>
    <row r="23" spans="1:6" ht="140.25">
      <c r="A23" s="356" t="s">
        <v>284</v>
      </c>
      <c r="B23" s="331"/>
      <c r="C23" s="358">
        <f>'Dtl BA_Considerations'!K43</f>
        <v>60</v>
      </c>
      <c r="D23" s="357">
        <v>0</v>
      </c>
      <c r="E23" s="361">
        <f t="shared" si="1"/>
        <v>60</v>
      </c>
    </row>
    <row r="26" spans="1:6" s="289" customFormat="1" ht="31.5">
      <c r="A26" s="244" t="s">
        <v>227</v>
      </c>
      <c r="B26" s="287" t="s">
        <v>360</v>
      </c>
      <c r="C26" s="287" t="s">
        <v>167</v>
      </c>
      <c r="D26" s="287" t="s">
        <v>233</v>
      </c>
      <c r="E26" s="288" t="s">
        <v>189</v>
      </c>
      <c r="F26" s="264">
        <f>SUM(E27:E29)</f>
        <v>15</v>
      </c>
    </row>
    <row r="27" spans="1:6" ht="139.5" customHeight="1">
      <c r="A27" s="356" t="s">
        <v>364</v>
      </c>
      <c r="B27" s="427">
        <v>2</v>
      </c>
      <c r="C27" s="358">
        <f>IFERROR(((SUM('Dtl Collaboration_Quality'!I14:I15)/'Dtl Collaboration_Quality'!B14)*B27),0)</f>
        <v>15</v>
      </c>
      <c r="D27" s="357">
        <v>0</v>
      </c>
      <c r="E27" s="359">
        <f>SUM(C27+D27)</f>
        <v>15</v>
      </c>
    </row>
    <row r="28" spans="1:6" ht="78.599999999999994" customHeight="1">
      <c r="A28" s="356" t="s">
        <v>365</v>
      </c>
      <c r="B28" s="427">
        <v>0</v>
      </c>
      <c r="C28" s="358">
        <f>IFERROR(((SUM('Dtl Collaboration_Quality'!I20:I21)/'Dtl Collaboration_Quality'!B20)*B28),0)</f>
        <v>0</v>
      </c>
      <c r="D28" s="357">
        <v>0</v>
      </c>
      <c r="E28" s="359">
        <f>SUM(C28+D28)</f>
        <v>0</v>
      </c>
    </row>
    <row r="29" spans="1:6" ht="69.599999999999994" customHeight="1">
      <c r="A29" s="356" t="s">
        <v>366</v>
      </c>
      <c r="B29" s="427">
        <v>0</v>
      </c>
      <c r="C29" s="358">
        <f>IFERROR(((SUM('Dtl Collaboration_Quality'!I17:I18)/'Dtl Collaboration_Quality'!B17)*B29),0)</f>
        <v>0</v>
      </c>
      <c r="D29" s="357">
        <v>0</v>
      </c>
      <c r="E29" s="359">
        <f>SUM(C29+D29)</f>
        <v>0</v>
      </c>
    </row>
    <row r="31" spans="1:6" s="289" customFormat="1" ht="32.25" thickBot="1">
      <c r="A31" s="244" t="s">
        <v>372</v>
      </c>
      <c r="B31" s="287" t="s">
        <v>167</v>
      </c>
      <c r="C31" s="288" t="s">
        <v>189</v>
      </c>
      <c r="D31" s="272">
        <f>B32</f>
        <v>0</v>
      </c>
    </row>
    <row r="32" spans="1:6" ht="41.45" customHeight="1">
      <c r="A32" s="402" t="s">
        <v>418</v>
      </c>
      <c r="B32" s="357">
        <v>0</v>
      </c>
      <c r="C32" s="366"/>
      <c r="D32" s="367"/>
    </row>
    <row r="34" spans="1:9" s="289" customFormat="1" ht="31.5">
      <c r="A34" s="244" t="s">
        <v>228</v>
      </c>
      <c r="B34" s="287" t="s">
        <v>167</v>
      </c>
      <c r="C34" s="288" t="s">
        <v>189</v>
      </c>
      <c r="D34" s="272">
        <f>B35</f>
        <v>10</v>
      </c>
    </row>
    <row r="35" spans="1:9" ht="30.4" customHeight="1">
      <c r="A35" s="401" t="s">
        <v>371</v>
      </c>
      <c r="B35" s="357">
        <v>10</v>
      </c>
      <c r="C35" s="366"/>
      <c r="D35" s="367"/>
    </row>
    <row r="38" spans="1:9">
      <c r="A38" s="175" t="s">
        <v>36</v>
      </c>
      <c r="B38" s="471"/>
      <c r="C38" s="472"/>
      <c r="D38" s="472"/>
      <c r="E38" s="472"/>
      <c r="F38" s="472"/>
      <c r="G38" s="472"/>
      <c r="H38" s="472"/>
      <c r="I38" s="473"/>
    </row>
    <row r="39" spans="1:9">
      <c r="A39" s="112"/>
      <c r="B39" s="474"/>
      <c r="C39" s="475"/>
      <c r="D39" s="475"/>
      <c r="E39" s="475"/>
      <c r="F39" s="475"/>
      <c r="G39" s="475"/>
      <c r="H39" s="475"/>
      <c r="I39" s="476"/>
    </row>
    <row r="40" spans="1:9">
      <c r="A40" s="112"/>
      <c r="B40" s="474"/>
      <c r="C40" s="475"/>
      <c r="D40" s="475"/>
      <c r="E40" s="475"/>
      <c r="F40" s="475"/>
      <c r="G40" s="475"/>
      <c r="H40" s="475"/>
      <c r="I40" s="476"/>
    </row>
    <row r="41" spans="1:9">
      <c r="A41" s="112"/>
      <c r="B41" s="474"/>
      <c r="C41" s="475"/>
      <c r="D41" s="475"/>
      <c r="E41" s="475"/>
      <c r="F41" s="475"/>
      <c r="G41" s="475"/>
      <c r="H41" s="475"/>
      <c r="I41" s="476"/>
    </row>
    <row r="42" spans="1:9">
      <c r="A42" s="112"/>
      <c r="B42" s="474"/>
      <c r="C42" s="475"/>
      <c r="D42" s="475"/>
      <c r="E42" s="475"/>
      <c r="F42" s="475"/>
      <c r="G42" s="475"/>
      <c r="H42" s="475"/>
      <c r="I42" s="476"/>
    </row>
    <row r="43" spans="1:9">
      <c r="A43" s="112"/>
      <c r="B43" s="477"/>
      <c r="C43" s="478"/>
      <c r="D43" s="478"/>
      <c r="E43" s="478"/>
      <c r="F43" s="478"/>
      <c r="G43" s="478"/>
      <c r="H43" s="478"/>
      <c r="I43" s="479"/>
    </row>
    <row r="44" spans="1:9">
      <c r="A44" s="112"/>
      <c r="B44" s="112"/>
      <c r="C44" s="112"/>
      <c r="D44" s="112"/>
      <c r="E44" s="112"/>
      <c r="F44" s="112"/>
      <c r="G44" s="112"/>
      <c r="H44" s="112"/>
      <c r="I44" s="112"/>
    </row>
    <row r="45" spans="1:9">
      <c r="A45" s="175" t="s">
        <v>267</v>
      </c>
      <c r="B45" s="471" t="s">
        <v>434</v>
      </c>
      <c r="C45" s="472"/>
      <c r="D45" s="472"/>
      <c r="E45" s="472"/>
      <c r="F45" s="472"/>
      <c r="G45" s="472"/>
      <c r="H45" s="472"/>
      <c r="I45" s="473"/>
    </row>
    <row r="46" spans="1:9">
      <c r="A46" s="112"/>
      <c r="B46" s="474"/>
      <c r="C46" s="475"/>
      <c r="D46" s="475"/>
      <c r="E46" s="475"/>
      <c r="F46" s="475"/>
      <c r="G46" s="475"/>
      <c r="H46" s="475"/>
      <c r="I46" s="476"/>
    </row>
    <row r="47" spans="1:9">
      <c r="A47" s="112"/>
      <c r="B47" s="474"/>
      <c r="C47" s="475"/>
      <c r="D47" s="475"/>
      <c r="E47" s="475"/>
      <c r="F47" s="475"/>
      <c r="G47" s="475"/>
      <c r="H47" s="475"/>
      <c r="I47" s="476"/>
    </row>
    <row r="48" spans="1:9">
      <c r="A48" s="112"/>
      <c r="B48" s="474"/>
      <c r="C48" s="475"/>
      <c r="D48" s="475"/>
      <c r="E48" s="475"/>
      <c r="F48" s="475"/>
      <c r="G48" s="475"/>
      <c r="H48" s="475"/>
      <c r="I48" s="476"/>
    </row>
    <row r="49" spans="1:9">
      <c r="A49" s="112"/>
      <c r="B49" s="474"/>
      <c r="C49" s="475"/>
      <c r="D49" s="475"/>
      <c r="E49" s="475"/>
      <c r="F49" s="475"/>
      <c r="G49" s="475"/>
      <c r="H49" s="475"/>
      <c r="I49" s="476"/>
    </row>
    <row r="50" spans="1:9">
      <c r="A50" s="112"/>
      <c r="B50" s="477"/>
      <c r="C50" s="478"/>
      <c r="D50" s="478"/>
      <c r="E50" s="478"/>
      <c r="F50" s="478"/>
      <c r="G50" s="478"/>
      <c r="H50" s="478"/>
      <c r="I50" s="479"/>
    </row>
  </sheetData>
  <sheetProtection algorithmName="SHA-512" hashValue="Qu9Wg0D+iCXOh+Pt/rn9eRiMP4KGVEb4OTTsiZefPEGOFCM2jLXItpWP+3197N2erWGxLixE8o/Bud1NURs2tg==" saltValue="94t6HiCzNS3mEfL150ezow==" spinCount="100000" sheet="1" selectLockedCells="1"/>
  <protectedRanges>
    <protectedRange sqref="A32" name="Range3_1"/>
  </protectedRanges>
  <mergeCells count="7">
    <mergeCell ref="B38:I43"/>
    <mergeCell ref="B45:I50"/>
    <mergeCell ref="B2:C2"/>
    <mergeCell ref="B1:C1"/>
    <mergeCell ref="B3:F3"/>
    <mergeCell ref="B5:D5"/>
    <mergeCell ref="B6:D6"/>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4" sqref="A24"/>
    </sheetView>
  </sheetViews>
  <sheetFormatPr defaultColWidth="12.42578125" defaultRowHeight="15"/>
  <cols>
    <col min="1" max="1" width="48.42578125" style="15" bestFit="1" customWidth="1"/>
    <col min="2" max="2" width="12.42578125" style="15"/>
    <col min="3" max="3" width="14.42578125" style="15" bestFit="1" customWidth="1"/>
    <col min="4" max="4" width="12.42578125" style="15"/>
    <col min="5" max="5" width="13.42578125" style="15" bestFit="1" customWidth="1"/>
    <col min="6" max="6" width="16.42578125" style="15" customWidth="1"/>
    <col min="7" max="16384" width="12.42578125" style="15"/>
  </cols>
  <sheetData>
    <row r="1" spans="1:15" s="13" customFormat="1" ht="12.75">
      <c r="A1" s="12" t="s">
        <v>176</v>
      </c>
      <c r="B1" s="281">
        <f>InitialEstimate!B1</f>
        <v>2.9</v>
      </c>
    </row>
    <row r="2" spans="1:15" s="13" customFormat="1" ht="18" customHeight="1">
      <c r="A2" s="536" t="s">
        <v>48</v>
      </c>
      <c r="B2" s="536"/>
      <c r="C2" s="536"/>
      <c r="D2" s="536"/>
      <c r="E2" s="536"/>
      <c r="F2" s="540" t="str">
        <f>InitialEstimate!F3</f>
        <v>CO 23810 003</v>
      </c>
      <c r="G2" s="540"/>
      <c r="H2" s="15"/>
    </row>
    <row r="3" spans="1:15" s="13" customFormat="1" ht="18" customHeight="1">
      <c r="A3" s="541" t="s">
        <v>191</v>
      </c>
      <c r="B3" s="541"/>
      <c r="C3" s="541"/>
      <c r="D3" s="541"/>
      <c r="E3" s="541"/>
      <c r="F3" s="541"/>
      <c r="G3" s="541"/>
      <c r="H3" s="15"/>
    </row>
    <row r="4" spans="1:15">
      <c r="A4" s="14"/>
      <c r="B4" s="537" t="s">
        <v>1</v>
      </c>
      <c r="C4" s="537"/>
      <c r="D4" s="538" t="s">
        <v>131</v>
      </c>
      <c r="E4" s="538"/>
      <c r="F4" s="539" t="s">
        <v>2</v>
      </c>
      <c r="G4" s="539"/>
    </row>
    <row r="5" spans="1:15" s="16" customFormat="1">
      <c r="A5" s="268" t="s">
        <v>177</v>
      </c>
      <c r="B5" s="269" t="s">
        <v>0</v>
      </c>
      <c r="C5" s="269" t="s">
        <v>18</v>
      </c>
      <c r="D5" s="269" t="s">
        <v>0</v>
      </c>
      <c r="E5" s="269" t="s">
        <v>18</v>
      </c>
      <c r="F5" s="269" t="s">
        <v>0</v>
      </c>
      <c r="G5" s="269" t="s">
        <v>18</v>
      </c>
      <c r="H5" s="13"/>
      <c r="I5" s="15"/>
      <c r="J5" s="15"/>
      <c r="K5" s="15"/>
      <c r="L5" s="15"/>
      <c r="M5" s="15"/>
      <c r="N5" s="15"/>
      <c r="O5" s="15"/>
    </row>
    <row r="6" spans="1:15">
      <c r="A6" s="29" t="s">
        <v>178</v>
      </c>
      <c r="B6" s="28">
        <v>25</v>
      </c>
      <c r="C6" s="28">
        <v>20.94</v>
      </c>
      <c r="D6" s="28">
        <v>75</v>
      </c>
      <c r="E6" s="28">
        <v>60.63</v>
      </c>
      <c r="F6" s="27">
        <v>125</v>
      </c>
      <c r="G6" s="27">
        <v>100</v>
      </c>
    </row>
    <row r="7" spans="1:15">
      <c r="A7" s="29" t="s">
        <v>46</v>
      </c>
      <c r="B7" s="28">
        <v>17</v>
      </c>
      <c r="C7" s="28">
        <v>13.6</v>
      </c>
      <c r="D7" s="28">
        <v>51</v>
      </c>
      <c r="E7" s="28">
        <v>40.799999999999997</v>
      </c>
      <c r="F7" s="27">
        <v>85</v>
      </c>
      <c r="G7" s="27">
        <v>68</v>
      </c>
    </row>
    <row r="8" spans="1:15">
      <c r="A8" s="29" t="s">
        <v>153</v>
      </c>
      <c r="B8" s="28">
        <v>46</v>
      </c>
      <c r="C8" s="28">
        <v>36.799999999999997</v>
      </c>
      <c r="D8" s="28">
        <v>115</v>
      </c>
      <c r="E8" s="28">
        <v>92</v>
      </c>
      <c r="F8" s="27">
        <v>294.39999999999998</v>
      </c>
      <c r="G8" s="27">
        <v>235.52500000000001</v>
      </c>
    </row>
    <row r="9" spans="1:15" ht="63.75">
      <c r="A9" s="29" t="s">
        <v>269</v>
      </c>
      <c r="B9" s="28">
        <v>5</v>
      </c>
      <c r="C9" s="28">
        <v>4.0625</v>
      </c>
      <c r="D9" s="28">
        <v>11.875</v>
      </c>
      <c r="E9" s="28">
        <v>9.6875</v>
      </c>
      <c r="F9" s="27">
        <v>26.875</v>
      </c>
      <c r="G9" s="27">
        <v>21.5625</v>
      </c>
    </row>
    <row r="10" spans="1:15">
      <c r="A10" s="29" t="s">
        <v>231</v>
      </c>
      <c r="B10" s="28">
        <v>5.9375</v>
      </c>
      <c r="C10" s="28">
        <v>4.6875</v>
      </c>
      <c r="D10" s="28">
        <v>15</v>
      </c>
      <c r="E10" s="28">
        <v>11.875</v>
      </c>
      <c r="F10" s="27">
        <v>31.875</v>
      </c>
      <c r="G10" s="27">
        <v>25.625</v>
      </c>
    </row>
    <row r="11" spans="1:15">
      <c r="A11" s="29" t="s">
        <v>37</v>
      </c>
      <c r="B11" s="28">
        <v>8.125</v>
      </c>
      <c r="C11" s="28">
        <v>6.1</v>
      </c>
      <c r="D11" s="28">
        <v>8.125</v>
      </c>
      <c r="E11" s="28">
        <v>6.1</v>
      </c>
      <c r="F11" s="28">
        <v>8.125</v>
      </c>
      <c r="G11" s="28">
        <v>6.1</v>
      </c>
    </row>
    <row r="12" spans="1:15">
      <c r="A12" s="26" t="s">
        <v>190</v>
      </c>
      <c r="B12" s="25">
        <v>20</v>
      </c>
      <c r="C12" s="25">
        <v>16</v>
      </c>
      <c r="D12" s="25">
        <v>60</v>
      </c>
      <c r="E12" s="25">
        <v>48</v>
      </c>
      <c r="F12" s="27">
        <v>90</v>
      </c>
      <c r="G12" s="27">
        <v>75</v>
      </c>
    </row>
    <row r="13" spans="1:15">
      <c r="A13" s="26" t="s">
        <v>179</v>
      </c>
      <c r="B13" s="25">
        <v>50</v>
      </c>
      <c r="C13" s="25">
        <v>35</v>
      </c>
      <c r="D13" s="25">
        <v>100</v>
      </c>
      <c r="E13" s="25">
        <v>80</v>
      </c>
      <c r="F13" s="27">
        <v>200</v>
      </c>
      <c r="G13" s="27">
        <v>150</v>
      </c>
    </row>
    <row r="14" spans="1:15">
      <c r="A14" s="26" t="s">
        <v>157</v>
      </c>
      <c r="B14" s="25">
        <v>15</v>
      </c>
      <c r="C14" s="25">
        <v>10</v>
      </c>
      <c r="D14" s="25">
        <v>50</v>
      </c>
      <c r="E14" s="25">
        <v>35</v>
      </c>
      <c r="F14" s="27">
        <v>90</v>
      </c>
      <c r="G14" s="27">
        <v>75</v>
      </c>
    </row>
    <row r="15" spans="1:15">
      <c r="A15" s="26" t="s">
        <v>180</v>
      </c>
      <c r="B15" s="25">
        <v>3</v>
      </c>
      <c r="C15" s="25">
        <v>5</v>
      </c>
      <c r="D15" s="25">
        <v>8</v>
      </c>
      <c r="E15" s="25">
        <v>1</v>
      </c>
      <c r="F15" s="27">
        <v>2.5</v>
      </c>
      <c r="G15" s="27">
        <v>5</v>
      </c>
    </row>
    <row r="16" spans="1:15" ht="25.5">
      <c r="A16" s="26" t="s">
        <v>232</v>
      </c>
      <c r="B16" s="25">
        <v>20</v>
      </c>
      <c r="C16" s="25">
        <v>10</v>
      </c>
      <c r="D16" s="25">
        <v>50</v>
      </c>
      <c r="E16" s="25">
        <v>25</v>
      </c>
      <c r="F16" s="25">
        <v>100</v>
      </c>
      <c r="G16" s="25">
        <v>50</v>
      </c>
    </row>
    <row r="17" spans="1:7">
      <c r="A17" s="14"/>
      <c r="B17" s="14"/>
      <c r="C17" s="14"/>
      <c r="D17" s="14"/>
      <c r="E17" s="14"/>
      <c r="F17" s="14"/>
      <c r="G17" s="14"/>
    </row>
    <row r="18" spans="1:7">
      <c r="A18" s="14"/>
      <c r="B18" s="14"/>
      <c r="C18" s="14"/>
      <c r="D18" s="14"/>
      <c r="E18" s="14"/>
      <c r="F18" s="14"/>
      <c r="G18" s="14"/>
    </row>
    <row r="19" spans="1:7">
      <c r="A19" s="268" t="s">
        <v>181</v>
      </c>
      <c r="B19" s="270" t="s">
        <v>182</v>
      </c>
      <c r="C19" s="270" t="s">
        <v>183</v>
      </c>
      <c r="D19" s="14"/>
      <c r="E19" s="14"/>
      <c r="F19" s="14"/>
      <c r="G19" s="14"/>
    </row>
    <row r="20" spans="1:7" ht="45">
      <c r="A20" s="17" t="s">
        <v>7</v>
      </c>
      <c r="B20" s="23">
        <v>5</v>
      </c>
      <c r="C20" s="24" t="s">
        <v>184</v>
      </c>
      <c r="D20" s="14"/>
      <c r="E20" s="14"/>
      <c r="F20" s="14"/>
      <c r="G20" s="14"/>
    </row>
    <row r="21" spans="1:7" ht="45">
      <c r="A21" s="17" t="s">
        <v>185</v>
      </c>
      <c r="B21" s="23">
        <v>15</v>
      </c>
      <c r="C21" s="24" t="s">
        <v>184</v>
      </c>
      <c r="D21" s="14"/>
      <c r="E21" s="14"/>
      <c r="F21" s="14"/>
      <c r="G21" s="14"/>
    </row>
    <row r="22" spans="1:7">
      <c r="A22" s="17" t="s">
        <v>186</v>
      </c>
      <c r="B22" s="23">
        <v>30</v>
      </c>
      <c r="C22" s="23" t="s">
        <v>24</v>
      </c>
      <c r="D22" s="14"/>
      <c r="E22" s="14"/>
      <c r="F22" s="14"/>
      <c r="G22" s="14"/>
    </row>
    <row r="23" spans="1:7">
      <c r="A23" s="17" t="s">
        <v>379</v>
      </c>
      <c r="B23" s="23">
        <v>5</v>
      </c>
      <c r="C23" s="23" t="s">
        <v>24</v>
      </c>
      <c r="D23" s="14"/>
      <c r="E23" s="14"/>
      <c r="F23" s="14"/>
      <c r="G23" s="14"/>
    </row>
    <row r="24" spans="1:7">
      <c r="A24" s="18" t="s">
        <v>187</v>
      </c>
      <c r="B24" s="23">
        <v>20</v>
      </c>
      <c r="C24" s="23" t="s">
        <v>186</v>
      </c>
      <c r="D24" s="14"/>
      <c r="E24" s="14"/>
      <c r="F24" s="14"/>
      <c r="G24" s="14"/>
    </row>
    <row r="25" spans="1:7">
      <c r="A25" s="14"/>
      <c r="B25" s="14"/>
      <c r="C25" s="14"/>
      <c r="D25" s="14"/>
      <c r="E25" s="14"/>
      <c r="F25" s="14"/>
      <c r="G25" s="14"/>
    </row>
    <row r="26" spans="1:7">
      <c r="A26" s="268" t="s">
        <v>186</v>
      </c>
      <c r="B26" s="270" t="s">
        <v>188</v>
      </c>
      <c r="C26" s="270" t="s">
        <v>131</v>
      </c>
      <c r="D26" s="270" t="s">
        <v>64</v>
      </c>
      <c r="E26" s="270" t="s">
        <v>72</v>
      </c>
      <c r="F26" s="14"/>
      <c r="G26" s="14"/>
    </row>
    <row r="27" spans="1:7">
      <c r="A27" s="17" t="s">
        <v>75</v>
      </c>
      <c r="B27" s="21">
        <v>0.63</v>
      </c>
      <c r="C27" s="21">
        <v>1.25</v>
      </c>
      <c r="D27" s="21">
        <v>3.13</v>
      </c>
      <c r="E27" s="21">
        <v>5</v>
      </c>
      <c r="F27" s="14"/>
      <c r="G27" s="14"/>
    </row>
    <row r="28" spans="1:7">
      <c r="A28" s="17" t="s">
        <v>76</v>
      </c>
      <c r="B28" s="21">
        <v>0.625</v>
      </c>
      <c r="C28" s="21">
        <v>0.625</v>
      </c>
      <c r="D28" s="21">
        <v>1.25</v>
      </c>
      <c r="E28" s="21">
        <v>1.25</v>
      </c>
      <c r="F28" s="14"/>
      <c r="G28" s="14"/>
    </row>
    <row r="29" spans="1:7">
      <c r="A29" s="17" t="s">
        <v>142</v>
      </c>
      <c r="B29" s="21">
        <v>0.3125</v>
      </c>
      <c r="C29" s="21">
        <v>0.31</v>
      </c>
      <c r="D29" s="21">
        <v>0.63</v>
      </c>
      <c r="E29" s="21">
        <v>0.63</v>
      </c>
      <c r="F29" s="14"/>
      <c r="G29" s="14"/>
    </row>
    <row r="30" spans="1:7">
      <c r="A30" s="17" t="s">
        <v>211</v>
      </c>
      <c r="B30" s="21">
        <v>0.625</v>
      </c>
      <c r="C30" s="21">
        <v>1.88</v>
      </c>
      <c r="D30" s="21">
        <v>3.75</v>
      </c>
      <c r="E30" s="21">
        <v>7.5</v>
      </c>
      <c r="F30" s="14"/>
      <c r="G30" s="14"/>
    </row>
    <row r="31" spans="1:7">
      <c r="A31" s="20" t="s">
        <v>189</v>
      </c>
      <c r="B31" s="22">
        <f>SUM(B27:B30)</f>
        <v>2.1924999999999999</v>
      </c>
      <c r="C31" s="22">
        <f>SUM(C27:C30)</f>
        <v>4.0649999999999995</v>
      </c>
      <c r="D31" s="22">
        <f>SUM(D27:D30)</f>
        <v>8.76</v>
      </c>
      <c r="E31" s="22">
        <f>SUM(E27:E30)</f>
        <v>14.379999999999999</v>
      </c>
      <c r="F31" s="14"/>
      <c r="G31" s="14"/>
    </row>
    <row r="32" spans="1:7" ht="60">
      <c r="A32" s="19" t="s">
        <v>204</v>
      </c>
      <c r="B32" s="21">
        <f>SUM(B27,B29:B30)</f>
        <v>1.5674999999999999</v>
      </c>
      <c r="C32" s="21">
        <f>SUM(C27, C29:C30)</f>
        <v>3.44</v>
      </c>
      <c r="D32" s="21">
        <f>SUM(D27, D29:D30)</f>
        <v>7.51</v>
      </c>
      <c r="E32" s="21">
        <f>SUM(E27, E29:E30)</f>
        <v>13.129999999999999</v>
      </c>
      <c r="F32" s="14"/>
      <c r="G32" s="14"/>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47" zoomScaleNormal="100" workbookViewId="0">
      <selection activeCell="F150" sqref="F150"/>
    </sheetView>
  </sheetViews>
  <sheetFormatPr defaultColWidth="9.42578125" defaultRowHeight="12.75"/>
  <cols>
    <col min="1" max="1" width="62" style="88" customWidth="1"/>
    <col min="2" max="2" width="9.42578125" style="31" customWidth="1"/>
    <col min="3" max="3" width="11.42578125" style="31" customWidth="1"/>
    <col min="4" max="4" width="12.42578125" style="31" customWidth="1"/>
    <col min="5" max="5" width="13" style="31" customWidth="1"/>
    <col min="6" max="6" width="10.42578125" style="31" bestFit="1" customWidth="1"/>
    <col min="7" max="7" width="10.42578125" style="31" customWidth="1"/>
    <col min="8" max="9" width="9.42578125" style="31" bestFit="1" customWidth="1"/>
    <col min="10" max="10" width="9.42578125" style="31" customWidth="1"/>
    <col min="11" max="12" width="9.42578125" style="31"/>
    <col min="13" max="13" width="68" style="31" customWidth="1"/>
    <col min="14" max="16384" width="9.42578125" style="31"/>
  </cols>
  <sheetData>
    <row r="1" spans="1:12">
      <c r="A1" s="1" t="str">
        <f>InitialEstimate!A1</f>
        <v>Template Version:</v>
      </c>
      <c r="B1" s="281">
        <f>InitialEstimate!B1</f>
        <v>2.9</v>
      </c>
    </row>
    <row r="2" spans="1:12" ht="18" customHeight="1">
      <c r="A2" s="542" t="s">
        <v>28</v>
      </c>
      <c r="B2" s="542"/>
      <c r="C2" s="542"/>
      <c r="D2" s="542"/>
      <c r="E2" s="542"/>
      <c r="F2" s="542"/>
      <c r="G2" s="543" t="str">
        <f>InitialEstimate!F3</f>
        <v>CO 23810 003</v>
      </c>
      <c r="H2" s="543"/>
    </row>
    <row r="3" spans="1:12" s="59" customFormat="1" ht="18">
      <c r="A3" s="544" t="s">
        <v>191</v>
      </c>
      <c r="B3" s="544"/>
      <c r="C3" s="544"/>
      <c r="D3" s="544"/>
      <c r="E3" s="544"/>
      <c r="F3" s="544"/>
      <c r="G3" s="544"/>
      <c r="H3" s="544"/>
      <c r="I3" s="58"/>
      <c r="J3" s="58"/>
      <c r="K3" s="58"/>
      <c r="L3" s="31"/>
    </row>
    <row r="4" spans="1:12" s="59" customFormat="1" ht="15.75">
      <c r="A4" s="244" t="s">
        <v>70</v>
      </c>
      <c r="B4" s="244" t="s">
        <v>0</v>
      </c>
      <c r="C4" s="244" t="s">
        <v>0</v>
      </c>
      <c r="D4" s="244" t="s">
        <v>0</v>
      </c>
      <c r="E4" s="244"/>
      <c r="F4" s="244" t="s">
        <v>19</v>
      </c>
      <c r="G4" s="244" t="s">
        <v>19</v>
      </c>
      <c r="H4" s="244" t="s">
        <v>19</v>
      </c>
      <c r="I4" s="60"/>
      <c r="J4" s="60"/>
      <c r="K4" s="60"/>
    </row>
    <row r="5" spans="1:12" s="59" customFormat="1">
      <c r="A5" s="61"/>
      <c r="B5" s="62" t="s">
        <v>62</v>
      </c>
      <c r="C5" s="62" t="s">
        <v>63</v>
      </c>
      <c r="D5" s="62" t="s">
        <v>64</v>
      </c>
      <c r="F5" s="62" t="s">
        <v>62</v>
      </c>
      <c r="G5" s="62" t="s">
        <v>63</v>
      </c>
      <c r="H5" s="62" t="s">
        <v>64</v>
      </c>
    </row>
    <row r="6" spans="1:12" s="59" customFormat="1">
      <c r="A6" s="61"/>
      <c r="B6" s="62"/>
      <c r="C6" s="62"/>
      <c r="D6" s="62"/>
      <c r="F6" s="62"/>
      <c r="G6" s="62"/>
      <c r="H6" s="62"/>
    </row>
    <row r="7" spans="1:12" s="59" customFormat="1">
      <c r="A7" s="63" t="s">
        <v>200</v>
      </c>
      <c r="B7" s="63"/>
      <c r="C7" s="63"/>
      <c r="D7" s="63"/>
      <c r="E7" s="63"/>
      <c r="F7" s="63"/>
      <c r="G7" s="63"/>
      <c r="H7" s="63"/>
    </row>
    <row r="8" spans="1:12" s="59" customFormat="1">
      <c r="A8" s="64" t="s">
        <v>7</v>
      </c>
      <c r="B8" s="65">
        <v>4</v>
      </c>
      <c r="C8" s="65">
        <f>CEILING(B8*3, 0.25)</f>
        <v>12</v>
      </c>
      <c r="D8" s="65">
        <f>CEILING(B8*5,0.25)</f>
        <v>20</v>
      </c>
      <c r="E8" s="65"/>
      <c r="F8" s="65">
        <f>CEILING(0.8*B8, 0.25)</f>
        <v>3.25</v>
      </c>
      <c r="G8" s="65">
        <f>CEILING(0.8*C8, 0.25)</f>
        <v>9.75</v>
      </c>
      <c r="H8" s="65">
        <f>CEILING(0.8*D8, 0.25)</f>
        <v>16</v>
      </c>
    </row>
    <row r="9" spans="1:12" s="59" customFormat="1">
      <c r="A9" s="66" t="s">
        <v>8</v>
      </c>
      <c r="B9" s="65">
        <v>6</v>
      </c>
      <c r="C9" s="65">
        <f t="shared" ref="C9:C15" si="0">CEILING(B9*3, 0.25)</f>
        <v>18</v>
      </c>
      <c r="D9" s="65">
        <f t="shared" ref="D9:D15" si="1">CEILING(B9*5,0.25)</f>
        <v>30</v>
      </c>
      <c r="E9" s="65"/>
      <c r="F9" s="65">
        <f t="shared" ref="F9:F15" si="2">CEILING(0.8*B9, 0.25)</f>
        <v>5</v>
      </c>
      <c r="G9" s="65">
        <f t="shared" ref="G9:G15" si="3">CEILING(0.8*C9, 0.25)</f>
        <v>14.5</v>
      </c>
      <c r="H9" s="65">
        <f t="shared" ref="H9:H15" si="4">CEILING(0.8*D9, 0.25)</f>
        <v>24</v>
      </c>
    </row>
    <row r="10" spans="1:12" s="59" customFormat="1">
      <c r="A10" s="64" t="s">
        <v>10</v>
      </c>
      <c r="B10" s="65">
        <v>1</v>
      </c>
      <c r="C10" s="65">
        <f t="shared" si="0"/>
        <v>3</v>
      </c>
      <c r="D10" s="65">
        <f t="shared" si="1"/>
        <v>5</v>
      </c>
      <c r="E10" s="65"/>
      <c r="F10" s="65">
        <f t="shared" si="2"/>
        <v>1</v>
      </c>
      <c r="G10" s="65">
        <f t="shared" si="3"/>
        <v>2.5</v>
      </c>
      <c r="H10" s="65">
        <f t="shared" si="4"/>
        <v>4</v>
      </c>
    </row>
    <row r="11" spans="1:12" s="59" customFormat="1">
      <c r="A11" s="64" t="s">
        <v>9</v>
      </c>
      <c r="B11" s="65">
        <v>2.5</v>
      </c>
      <c r="C11" s="65">
        <f t="shared" si="0"/>
        <v>7.5</v>
      </c>
      <c r="D11" s="65">
        <f t="shared" si="1"/>
        <v>12.5</v>
      </c>
      <c r="E11" s="65"/>
      <c r="F11" s="65">
        <f t="shared" si="2"/>
        <v>2</v>
      </c>
      <c r="G11" s="65">
        <f t="shared" si="3"/>
        <v>6</v>
      </c>
      <c r="H11" s="65">
        <f t="shared" si="4"/>
        <v>10</v>
      </c>
    </row>
    <row r="12" spans="1:12" s="59" customFormat="1">
      <c r="A12" s="64" t="s">
        <v>23</v>
      </c>
      <c r="B12" s="65">
        <v>2.5</v>
      </c>
      <c r="C12" s="65">
        <f t="shared" si="0"/>
        <v>7.5</v>
      </c>
      <c r="D12" s="65">
        <f t="shared" si="1"/>
        <v>12.5</v>
      </c>
      <c r="E12" s="65"/>
      <c r="F12" s="65">
        <f t="shared" si="2"/>
        <v>2</v>
      </c>
      <c r="G12" s="65">
        <f t="shared" si="3"/>
        <v>6</v>
      </c>
      <c r="H12" s="65">
        <f t="shared" si="4"/>
        <v>10</v>
      </c>
    </row>
    <row r="13" spans="1:12" s="59" customFormat="1">
      <c r="A13" s="64" t="s">
        <v>202</v>
      </c>
      <c r="B13" s="65">
        <v>2.5</v>
      </c>
      <c r="C13" s="65">
        <f t="shared" si="0"/>
        <v>7.5</v>
      </c>
      <c r="D13" s="65">
        <f t="shared" si="1"/>
        <v>12.5</v>
      </c>
      <c r="E13" s="65"/>
      <c r="F13" s="65">
        <f t="shared" si="2"/>
        <v>2</v>
      </c>
      <c r="G13" s="65">
        <f t="shared" si="3"/>
        <v>6</v>
      </c>
      <c r="H13" s="65">
        <f t="shared" si="4"/>
        <v>10</v>
      </c>
    </row>
    <row r="14" spans="1:12" s="59" customFormat="1">
      <c r="A14" s="64" t="s">
        <v>3</v>
      </c>
      <c r="B14" s="65">
        <v>1</v>
      </c>
      <c r="C14" s="65">
        <f t="shared" si="0"/>
        <v>3</v>
      </c>
      <c r="D14" s="65">
        <f t="shared" si="1"/>
        <v>5</v>
      </c>
      <c r="E14" s="65"/>
      <c r="F14" s="65">
        <f t="shared" si="2"/>
        <v>1</v>
      </c>
      <c r="G14" s="65">
        <f t="shared" si="3"/>
        <v>2.5</v>
      </c>
      <c r="H14" s="65">
        <f t="shared" si="4"/>
        <v>4</v>
      </c>
    </row>
    <row r="15" spans="1:12" s="59" customFormat="1" ht="13.5" thickBot="1">
      <c r="A15" s="64" t="s">
        <v>11</v>
      </c>
      <c r="B15" s="65">
        <v>0.5</v>
      </c>
      <c r="C15" s="65">
        <f t="shared" si="0"/>
        <v>1.5</v>
      </c>
      <c r="D15" s="65">
        <f t="shared" si="1"/>
        <v>2.5</v>
      </c>
      <c r="E15" s="65"/>
      <c r="F15" s="65">
        <f t="shared" si="2"/>
        <v>0.5</v>
      </c>
      <c r="G15" s="65">
        <f t="shared" si="3"/>
        <v>1.25</v>
      </c>
      <c r="H15" s="65">
        <f t="shared" si="4"/>
        <v>2</v>
      </c>
    </row>
    <row r="16" spans="1:12" s="59" customFormat="1" ht="13.5" thickTop="1">
      <c r="A16" s="61" t="s">
        <v>201</v>
      </c>
      <c r="B16" s="67">
        <f>MROUND(SUM(B8:B15),0.25)</f>
        <v>20</v>
      </c>
      <c r="C16" s="67">
        <f t="shared" ref="C16:D16" si="5">MROUND(SUM(C8:C15),0.25)</f>
        <v>60</v>
      </c>
      <c r="D16" s="67">
        <f t="shared" si="5"/>
        <v>100</v>
      </c>
      <c r="F16" s="67">
        <f>MROUND(SUM(F8:F15),0.25)</f>
        <v>16.75</v>
      </c>
      <c r="G16" s="67">
        <f t="shared" ref="G16:H16" si="6">MROUND(SUM(G8:G15),0.25)</f>
        <v>48.5</v>
      </c>
      <c r="H16" s="67">
        <f t="shared" si="6"/>
        <v>80</v>
      </c>
    </row>
    <row r="17" spans="1:11" s="59" customFormat="1">
      <c r="A17" s="61"/>
      <c r="B17" s="62"/>
      <c r="C17" s="62"/>
      <c r="D17" s="62"/>
      <c r="F17" s="62"/>
      <c r="G17" s="62"/>
      <c r="H17" s="62"/>
    </row>
    <row r="18" spans="1:11" s="59" customFormat="1">
      <c r="A18" s="61" t="s">
        <v>46</v>
      </c>
    </row>
    <row r="19" spans="1:11" s="59" customFormat="1">
      <c r="A19" s="54" t="s">
        <v>7</v>
      </c>
      <c r="B19" s="31">
        <v>4.8000000000000007</v>
      </c>
      <c r="C19" s="31">
        <f>B19*3</f>
        <v>14.400000000000002</v>
      </c>
      <c r="D19" s="31">
        <f>B19*5</f>
        <v>24.000000000000004</v>
      </c>
      <c r="E19" s="31"/>
      <c r="F19" s="31">
        <f>0.8*B19</f>
        <v>3.8400000000000007</v>
      </c>
      <c r="G19" s="31">
        <f t="shared" ref="G19:H19" si="7">0.8*C19</f>
        <v>11.520000000000003</v>
      </c>
      <c r="H19" s="31">
        <f t="shared" si="7"/>
        <v>19.200000000000003</v>
      </c>
    </row>
    <row r="20" spans="1:11" s="59" customFormat="1">
      <c r="A20" s="68" t="s">
        <v>8</v>
      </c>
      <c r="B20" s="31">
        <v>3.6</v>
      </c>
      <c r="C20" s="31">
        <f t="shared" ref="C20" si="8">B20*3</f>
        <v>10.8</v>
      </c>
      <c r="D20" s="31">
        <f t="shared" ref="D20:D26" si="9">B20*5</f>
        <v>18</v>
      </c>
      <c r="E20" s="31"/>
      <c r="F20" s="31">
        <f t="shared" ref="F20:F26" si="10">0.8*B20</f>
        <v>2.8800000000000003</v>
      </c>
      <c r="G20" s="31">
        <f t="shared" ref="G20:G26" si="11">0.8*C20</f>
        <v>8.64</v>
      </c>
      <c r="H20" s="31">
        <f t="shared" ref="H20:H26" si="12">0.8*D20</f>
        <v>14.4</v>
      </c>
    </row>
    <row r="21" spans="1:11" s="59" customFormat="1">
      <c r="A21" s="54" t="s">
        <v>10</v>
      </c>
      <c r="B21" s="31">
        <v>0.4</v>
      </c>
      <c r="C21" s="31">
        <f t="shared" ref="C21" si="13">B21*3</f>
        <v>1.2000000000000002</v>
      </c>
      <c r="D21" s="31">
        <f t="shared" si="9"/>
        <v>2</v>
      </c>
      <c r="E21" s="31"/>
      <c r="F21" s="31">
        <f t="shared" si="10"/>
        <v>0.32000000000000006</v>
      </c>
      <c r="G21" s="31">
        <f t="shared" si="11"/>
        <v>0.96000000000000019</v>
      </c>
      <c r="H21" s="31">
        <f t="shared" si="12"/>
        <v>1.6</v>
      </c>
    </row>
    <row r="22" spans="1:11" s="59" customFormat="1">
      <c r="A22" s="54" t="s">
        <v>9</v>
      </c>
      <c r="B22" s="31">
        <v>0.8</v>
      </c>
      <c r="C22" s="31">
        <f t="shared" ref="C22" si="14">B22*3</f>
        <v>2.4000000000000004</v>
      </c>
      <c r="D22" s="31">
        <f t="shared" si="9"/>
        <v>4</v>
      </c>
      <c r="E22" s="31"/>
      <c r="F22" s="31">
        <f t="shared" si="10"/>
        <v>0.64000000000000012</v>
      </c>
      <c r="G22" s="31">
        <f t="shared" si="11"/>
        <v>1.9200000000000004</v>
      </c>
      <c r="H22" s="31">
        <f t="shared" si="12"/>
        <v>3.2</v>
      </c>
    </row>
    <row r="23" spans="1:11" s="59" customFormat="1">
      <c r="A23" s="54" t="s">
        <v>23</v>
      </c>
      <c r="B23" s="31">
        <v>2</v>
      </c>
      <c r="C23" s="31">
        <f t="shared" ref="C23" si="15">B23*3</f>
        <v>6</v>
      </c>
      <c r="D23" s="31">
        <f t="shared" si="9"/>
        <v>10</v>
      </c>
      <c r="E23" s="31"/>
      <c r="F23" s="31">
        <f t="shared" si="10"/>
        <v>1.6</v>
      </c>
      <c r="G23" s="31">
        <f t="shared" si="11"/>
        <v>4.8000000000000007</v>
      </c>
      <c r="H23" s="31">
        <f t="shared" si="12"/>
        <v>8</v>
      </c>
    </row>
    <row r="24" spans="1:11" s="59" customFormat="1">
      <c r="A24" s="54" t="s">
        <v>174</v>
      </c>
      <c r="B24" s="31">
        <v>0.4</v>
      </c>
      <c r="C24" s="31">
        <f t="shared" ref="C24" si="16">B24*3</f>
        <v>1.2000000000000002</v>
      </c>
      <c r="D24" s="31">
        <f t="shared" si="9"/>
        <v>2</v>
      </c>
      <c r="E24" s="31"/>
      <c r="F24" s="31">
        <f t="shared" si="10"/>
        <v>0.32000000000000006</v>
      </c>
      <c r="G24" s="31">
        <f t="shared" si="11"/>
        <v>0.96000000000000019</v>
      </c>
      <c r="H24" s="31">
        <f t="shared" si="12"/>
        <v>1.6</v>
      </c>
    </row>
    <row r="25" spans="1:11">
      <c r="A25" s="54" t="s">
        <v>3</v>
      </c>
      <c r="B25" s="31">
        <v>0.8</v>
      </c>
      <c r="C25" s="31">
        <f t="shared" ref="C25" si="17">B25*3</f>
        <v>2.4000000000000004</v>
      </c>
      <c r="D25" s="31">
        <f t="shared" si="9"/>
        <v>4</v>
      </c>
      <c r="F25" s="31">
        <f t="shared" si="10"/>
        <v>0.64000000000000012</v>
      </c>
      <c r="G25" s="31">
        <f t="shared" si="11"/>
        <v>1.9200000000000004</v>
      </c>
      <c r="H25" s="31">
        <f t="shared" si="12"/>
        <v>3.2</v>
      </c>
      <c r="I25" s="59"/>
      <c r="J25" s="59"/>
      <c r="K25" s="59"/>
    </row>
    <row r="26" spans="1:11" ht="13.5" thickBot="1">
      <c r="A26" s="54" t="s">
        <v>11</v>
      </c>
      <c r="B26" s="31">
        <v>0.8</v>
      </c>
      <c r="C26" s="31">
        <f t="shared" ref="C26" si="18">B26*3</f>
        <v>2.4000000000000004</v>
      </c>
      <c r="D26" s="31">
        <f t="shared" si="9"/>
        <v>4</v>
      </c>
      <c r="F26" s="31">
        <f t="shared" si="10"/>
        <v>0.64000000000000012</v>
      </c>
      <c r="G26" s="31">
        <f t="shared" si="11"/>
        <v>1.9200000000000004</v>
      </c>
      <c r="H26" s="31">
        <f t="shared" si="12"/>
        <v>3.2</v>
      </c>
      <c r="I26" s="59"/>
      <c r="J26" s="59"/>
      <c r="K26" s="59"/>
    </row>
    <row r="27" spans="1:11" ht="13.5" thickTop="1">
      <c r="A27" s="69" t="s">
        <v>152</v>
      </c>
      <c r="B27" s="67">
        <f>MROUND(SUM(B19:B26),0.25)</f>
        <v>13.5</v>
      </c>
      <c r="C27" s="67">
        <f t="shared" ref="C27:D27" si="19">MROUND(SUM(C19:C26),0.25)</f>
        <v>40.75</v>
      </c>
      <c r="D27" s="67">
        <f t="shared" si="19"/>
        <v>68</v>
      </c>
      <c r="F27" s="67">
        <f>MROUND(SUM(F19:F26),0.25)</f>
        <v>11</v>
      </c>
      <c r="G27" s="67">
        <f t="shared" ref="G27:H27" si="20">MROUND(SUM(G19:G26),0.25)</f>
        <v>32.75</v>
      </c>
      <c r="H27" s="67">
        <f t="shared" si="20"/>
        <v>54.5</v>
      </c>
      <c r="I27" s="59"/>
      <c r="J27" s="59"/>
      <c r="K27" s="59"/>
    </row>
    <row r="28" spans="1:11">
      <c r="A28" s="61"/>
      <c r="B28" s="62"/>
      <c r="C28" s="62"/>
      <c r="D28" s="62"/>
      <c r="E28" s="59"/>
      <c r="F28" s="59"/>
      <c r="G28" s="59"/>
      <c r="H28" s="59"/>
      <c r="I28" s="59"/>
      <c r="J28" s="59"/>
      <c r="K28" s="59"/>
    </row>
    <row r="29" spans="1:11">
      <c r="A29" s="61" t="s">
        <v>153</v>
      </c>
      <c r="B29" s="59"/>
      <c r="C29" s="59"/>
      <c r="D29" s="59"/>
      <c r="E29" s="59"/>
      <c r="F29" s="59"/>
      <c r="G29" s="59"/>
      <c r="H29" s="59"/>
      <c r="I29" s="59"/>
      <c r="J29" s="59"/>
      <c r="K29" s="59"/>
    </row>
    <row r="30" spans="1:11">
      <c r="A30" s="54" t="s">
        <v>7</v>
      </c>
      <c r="B30" s="31">
        <v>8</v>
      </c>
      <c r="C30" s="31">
        <f>B30*2.5</f>
        <v>20</v>
      </c>
      <c r="D30" s="31">
        <f>B30*6.4</f>
        <v>51.2</v>
      </c>
      <c r="F30" s="31">
        <f>0.8*B30</f>
        <v>6.4</v>
      </c>
      <c r="G30" s="31">
        <f t="shared" ref="G30:H37" si="21">0.8*C30</f>
        <v>16</v>
      </c>
      <c r="H30" s="31">
        <f t="shared" si="21"/>
        <v>40.960000000000008</v>
      </c>
    </row>
    <row r="31" spans="1:11">
      <c r="A31" s="68" t="s">
        <v>8</v>
      </c>
      <c r="B31" s="31">
        <v>12</v>
      </c>
      <c r="C31" s="31">
        <f t="shared" ref="C31:C37" si="22">B31*2.5</f>
        <v>30</v>
      </c>
      <c r="D31" s="31">
        <f t="shared" ref="D31:D37" si="23">B31*6.4</f>
        <v>76.800000000000011</v>
      </c>
      <c r="F31" s="31">
        <f t="shared" ref="F31:F37" si="24">0.8*B31</f>
        <v>9.6000000000000014</v>
      </c>
      <c r="G31" s="31">
        <f t="shared" si="21"/>
        <v>24</v>
      </c>
      <c r="H31" s="31">
        <f t="shared" si="21"/>
        <v>61.440000000000012</v>
      </c>
    </row>
    <row r="32" spans="1:11">
      <c r="A32" s="54" t="s">
        <v>10</v>
      </c>
      <c r="B32" s="31">
        <v>1.6</v>
      </c>
      <c r="C32" s="31">
        <f t="shared" si="22"/>
        <v>4</v>
      </c>
      <c r="D32" s="31">
        <f t="shared" si="23"/>
        <v>10.240000000000002</v>
      </c>
      <c r="F32" s="31">
        <f t="shared" si="24"/>
        <v>1.2800000000000002</v>
      </c>
      <c r="G32" s="31">
        <f t="shared" si="21"/>
        <v>3.2</v>
      </c>
      <c r="H32" s="31">
        <f t="shared" si="21"/>
        <v>8.1920000000000019</v>
      </c>
    </row>
    <row r="33" spans="1:11" s="59" customFormat="1">
      <c r="A33" s="54" t="s">
        <v>9</v>
      </c>
      <c r="B33" s="31">
        <v>2.4000000000000004</v>
      </c>
      <c r="C33" s="31">
        <f t="shared" si="22"/>
        <v>6.0000000000000009</v>
      </c>
      <c r="D33" s="31">
        <f t="shared" si="23"/>
        <v>15.360000000000003</v>
      </c>
      <c r="E33" s="31"/>
      <c r="F33" s="31">
        <f>0.8*B33</f>
        <v>1.9200000000000004</v>
      </c>
      <c r="G33" s="31">
        <f>0.8*C33</f>
        <v>4.8000000000000007</v>
      </c>
      <c r="H33" s="31">
        <f>0.8*D33</f>
        <v>12.288000000000004</v>
      </c>
      <c r="I33" s="31"/>
      <c r="J33" s="31"/>
      <c r="K33" s="31"/>
    </row>
    <row r="34" spans="1:11">
      <c r="A34" s="54" t="s">
        <v>23</v>
      </c>
      <c r="B34" s="31">
        <v>6.4</v>
      </c>
      <c r="C34" s="31">
        <f t="shared" si="22"/>
        <v>16</v>
      </c>
      <c r="D34" s="31">
        <f t="shared" si="23"/>
        <v>40.960000000000008</v>
      </c>
      <c r="F34" s="31">
        <f t="shared" si="24"/>
        <v>5.120000000000001</v>
      </c>
      <c r="G34" s="31">
        <f t="shared" si="21"/>
        <v>12.8</v>
      </c>
      <c r="H34" s="31">
        <f t="shared" si="21"/>
        <v>32.768000000000008</v>
      </c>
    </row>
    <row r="35" spans="1:11">
      <c r="A35" s="54" t="s">
        <v>174</v>
      </c>
      <c r="B35" s="31">
        <v>0.8</v>
      </c>
      <c r="C35" s="31">
        <f t="shared" si="22"/>
        <v>2</v>
      </c>
      <c r="D35" s="31">
        <f t="shared" si="23"/>
        <v>5.120000000000001</v>
      </c>
      <c r="F35" s="31">
        <f>0.8*B35</f>
        <v>0.64000000000000012</v>
      </c>
      <c r="G35" s="31">
        <f>0.8*C35</f>
        <v>1.6</v>
      </c>
      <c r="H35" s="31">
        <f>0.8*D35</f>
        <v>4.096000000000001</v>
      </c>
    </row>
    <row r="36" spans="1:11">
      <c r="A36" s="54" t="s">
        <v>3</v>
      </c>
      <c r="B36" s="31">
        <v>4</v>
      </c>
      <c r="C36" s="31">
        <f t="shared" si="22"/>
        <v>10</v>
      </c>
      <c r="D36" s="31">
        <f t="shared" si="23"/>
        <v>25.6</v>
      </c>
      <c r="F36" s="31">
        <f t="shared" si="24"/>
        <v>3.2</v>
      </c>
      <c r="G36" s="31">
        <f t="shared" si="21"/>
        <v>8</v>
      </c>
      <c r="H36" s="31">
        <f t="shared" si="21"/>
        <v>20.480000000000004</v>
      </c>
    </row>
    <row r="37" spans="1:11" ht="13.5" thickBot="1">
      <c r="A37" s="54" t="s">
        <v>11</v>
      </c>
      <c r="B37" s="31">
        <v>1.6</v>
      </c>
      <c r="C37" s="31">
        <f t="shared" si="22"/>
        <v>4</v>
      </c>
      <c r="D37" s="31">
        <f t="shared" si="23"/>
        <v>10.240000000000002</v>
      </c>
      <c r="F37" s="31">
        <f t="shared" si="24"/>
        <v>1.2800000000000002</v>
      </c>
      <c r="G37" s="31">
        <f t="shared" si="21"/>
        <v>3.2</v>
      </c>
      <c r="H37" s="31">
        <f t="shared" si="21"/>
        <v>8.1920000000000019</v>
      </c>
    </row>
    <row r="38" spans="1:11" ht="13.5" thickTop="1">
      <c r="A38" s="69" t="s">
        <v>4</v>
      </c>
      <c r="B38" s="67">
        <f>MROUND(SUM(B30:B37),0.25)</f>
        <v>36.75</v>
      </c>
      <c r="C38" s="67">
        <f t="shared" ref="C38:D38" si="25">MROUND(SUM(C30:C37),0.25)</f>
        <v>92</v>
      </c>
      <c r="D38" s="67">
        <f t="shared" si="25"/>
        <v>235.5</v>
      </c>
      <c r="F38" s="67">
        <f>MROUND(SUM(F30:F37),0.25)</f>
        <v>29.5</v>
      </c>
      <c r="G38" s="67">
        <f t="shared" ref="G38:H38" si="26">MROUND(SUM(G30:G37),0.25)</f>
        <v>73.5</v>
      </c>
      <c r="H38" s="67">
        <f t="shared" si="26"/>
        <v>188.5</v>
      </c>
      <c r="K38" s="59"/>
    </row>
    <row r="40" spans="1:11">
      <c r="A40" s="61" t="s">
        <v>172</v>
      </c>
    </row>
    <row r="41" spans="1:11">
      <c r="A41" s="68" t="s">
        <v>32</v>
      </c>
      <c r="B41" s="31">
        <v>1.6</v>
      </c>
      <c r="C41" s="31">
        <v>4</v>
      </c>
      <c r="D41" s="31">
        <v>9.6000000000000014</v>
      </c>
      <c r="F41" s="31">
        <f>0.8*B41</f>
        <v>1.2800000000000002</v>
      </c>
      <c r="G41" s="31">
        <f t="shared" ref="G41:H44" si="27">0.8*C41</f>
        <v>3.2</v>
      </c>
      <c r="H41" s="31">
        <f t="shared" si="27"/>
        <v>7.6800000000000015</v>
      </c>
    </row>
    <row r="42" spans="1:11">
      <c r="A42" s="68" t="s">
        <v>33</v>
      </c>
      <c r="B42" s="31">
        <v>0.8</v>
      </c>
      <c r="C42" s="31">
        <v>2.4000000000000004</v>
      </c>
      <c r="D42" s="31">
        <v>5.6000000000000005</v>
      </c>
      <c r="F42" s="31">
        <f>0.8*B42</f>
        <v>0.64000000000000012</v>
      </c>
      <c r="G42" s="31">
        <f t="shared" si="27"/>
        <v>1.9200000000000004</v>
      </c>
      <c r="H42" s="31">
        <f t="shared" si="27"/>
        <v>4.4800000000000004</v>
      </c>
    </row>
    <row r="43" spans="1:11">
      <c r="A43" s="68" t="s">
        <v>34</v>
      </c>
      <c r="B43" s="31">
        <v>1.6</v>
      </c>
      <c r="C43" s="31">
        <v>4</v>
      </c>
      <c r="D43" s="31">
        <v>8</v>
      </c>
      <c r="F43" s="31">
        <f>0.8*B43</f>
        <v>1.2800000000000002</v>
      </c>
      <c r="G43" s="31">
        <f t="shared" si="27"/>
        <v>3.2</v>
      </c>
      <c r="H43" s="31">
        <f t="shared" si="27"/>
        <v>6.4</v>
      </c>
    </row>
    <row r="44" spans="1:11" ht="13.5" thickBot="1">
      <c r="A44" s="68" t="s">
        <v>35</v>
      </c>
      <c r="B44" s="31">
        <v>0.8</v>
      </c>
      <c r="C44" s="31">
        <v>1.6</v>
      </c>
      <c r="D44" s="31">
        <v>2.4000000000000004</v>
      </c>
      <c r="F44" s="70">
        <f>0.8*B44</f>
        <v>0.64000000000000012</v>
      </c>
      <c r="G44" s="70">
        <f t="shared" si="27"/>
        <v>1.2800000000000002</v>
      </c>
      <c r="H44" s="70">
        <f t="shared" si="27"/>
        <v>1.9200000000000004</v>
      </c>
    </row>
    <row r="45" spans="1:11" ht="13.5" thickTop="1">
      <c r="A45" s="69" t="s">
        <v>12</v>
      </c>
      <c r="B45" s="67">
        <f>MROUND(SUM(B41:B44),0.25)</f>
        <v>4.75</v>
      </c>
      <c r="C45" s="67">
        <f t="shared" ref="C45:D45" si="28">MROUND(SUM(C41:C44),0.25)</f>
        <v>12</v>
      </c>
      <c r="D45" s="67">
        <f t="shared" si="28"/>
        <v>25.5</v>
      </c>
      <c r="F45" s="59">
        <f>MROUND(SUM(F41:F44),0.25)</f>
        <v>3.75</v>
      </c>
      <c r="G45" s="59">
        <f t="shared" ref="G45:H45" si="29">MROUND(SUM(G41:G44),0.25)</f>
        <v>9.5</v>
      </c>
      <c r="H45" s="59">
        <f t="shared" si="29"/>
        <v>20.5</v>
      </c>
    </row>
    <row r="46" spans="1:11">
      <c r="A46" s="69"/>
      <c r="F46" s="9"/>
      <c r="G46" s="9"/>
      <c r="H46" s="9"/>
    </row>
    <row r="47" spans="1:11" ht="51">
      <c r="A47" s="61" t="s">
        <v>268</v>
      </c>
      <c r="F47" s="9"/>
      <c r="G47" s="9"/>
      <c r="H47" s="9"/>
    </row>
    <row r="48" spans="1:11">
      <c r="A48" s="68" t="s">
        <v>14</v>
      </c>
      <c r="B48" s="31">
        <v>1.6</v>
      </c>
      <c r="C48" s="31">
        <v>4</v>
      </c>
      <c r="D48" s="31">
        <v>9.6000000000000014</v>
      </c>
      <c r="F48" s="31">
        <f>0.8*B48</f>
        <v>1.2800000000000002</v>
      </c>
      <c r="G48" s="31">
        <f t="shared" ref="G48:H51" si="30">0.8*C48</f>
        <v>3.2</v>
      </c>
      <c r="H48" s="31">
        <f t="shared" si="30"/>
        <v>7.6800000000000015</v>
      </c>
    </row>
    <row r="49" spans="1:11">
      <c r="A49" s="68" t="s">
        <v>15</v>
      </c>
      <c r="B49" s="31">
        <v>0.8</v>
      </c>
      <c r="C49" s="31">
        <v>2</v>
      </c>
      <c r="D49" s="31">
        <v>4.8000000000000007</v>
      </c>
      <c r="F49" s="31">
        <f>0.8*B49</f>
        <v>0.64000000000000012</v>
      </c>
      <c r="G49" s="31">
        <f t="shared" si="30"/>
        <v>1.6</v>
      </c>
      <c r="H49" s="31">
        <f t="shared" si="30"/>
        <v>3.8400000000000007</v>
      </c>
    </row>
    <row r="50" spans="1:11">
      <c r="A50" s="68" t="s">
        <v>16</v>
      </c>
      <c r="B50" s="31">
        <v>0.8</v>
      </c>
      <c r="C50" s="31">
        <v>2</v>
      </c>
      <c r="D50" s="31">
        <v>4.8000000000000007</v>
      </c>
      <c r="F50" s="31">
        <f>0.8*B50</f>
        <v>0.64000000000000012</v>
      </c>
      <c r="G50" s="31">
        <f t="shared" si="30"/>
        <v>1.6</v>
      </c>
      <c r="H50" s="31">
        <f t="shared" si="30"/>
        <v>3.8400000000000007</v>
      </c>
    </row>
    <row r="51" spans="1:11" ht="13.5" thickBot="1">
      <c r="A51" s="68" t="s">
        <v>17</v>
      </c>
      <c r="B51" s="70">
        <v>0.8</v>
      </c>
      <c r="C51" s="70">
        <v>1.6</v>
      </c>
      <c r="D51" s="70">
        <v>2.4000000000000004</v>
      </c>
      <c r="F51" s="70">
        <f>0.8*B51</f>
        <v>0.64000000000000012</v>
      </c>
      <c r="G51" s="70">
        <f t="shared" si="30"/>
        <v>1.2800000000000002</v>
      </c>
      <c r="H51" s="70">
        <f t="shared" si="30"/>
        <v>1.9200000000000004</v>
      </c>
    </row>
    <row r="52" spans="1:11" ht="13.5" thickTop="1">
      <c r="A52" s="69" t="s">
        <v>13</v>
      </c>
      <c r="B52" s="59">
        <f>MROUND(SUM(B48:B51),0.25)</f>
        <v>4</v>
      </c>
      <c r="C52" s="59">
        <f t="shared" ref="C52:D52" si="31">MROUND(SUM(C48:C51),0.25)</f>
        <v>9.5</v>
      </c>
      <c r="D52" s="59">
        <f t="shared" si="31"/>
        <v>21.5</v>
      </c>
      <c r="F52" s="59">
        <f>MROUND(SUM(F48:F51),0.25)</f>
        <v>3.25</v>
      </c>
      <c r="G52" s="59">
        <f t="shared" ref="G52:H52" si="32">MROUND(SUM(G48:G51),0.25)</f>
        <v>7.75</v>
      </c>
      <c r="H52" s="59">
        <f t="shared" si="32"/>
        <v>17.25</v>
      </c>
    </row>
    <row r="53" spans="1:11">
      <c r="A53" s="69"/>
      <c r="F53" s="9"/>
      <c r="G53" s="9"/>
      <c r="H53" s="9"/>
    </row>
    <row r="54" spans="1:11">
      <c r="A54" s="71" t="s">
        <v>37</v>
      </c>
      <c r="F54" s="9"/>
      <c r="G54" s="9"/>
      <c r="H54" s="9"/>
    </row>
    <row r="55" spans="1:11">
      <c r="A55" s="54" t="s">
        <v>39</v>
      </c>
      <c r="B55" s="31">
        <v>0.5</v>
      </c>
      <c r="E55" s="72" t="s">
        <v>78</v>
      </c>
      <c r="F55" s="9"/>
      <c r="G55" s="9"/>
      <c r="H55" s="73" t="s">
        <v>27</v>
      </c>
    </row>
    <row r="56" spans="1:11">
      <c r="A56" s="54" t="s">
        <v>40</v>
      </c>
      <c r="B56" s="31">
        <v>1</v>
      </c>
      <c r="E56" s="57" t="s">
        <v>24</v>
      </c>
      <c r="F56" s="9"/>
      <c r="G56" s="9"/>
      <c r="H56" s="74">
        <v>0.74</v>
      </c>
    </row>
    <row r="57" spans="1:11">
      <c r="A57" s="54" t="s">
        <v>41</v>
      </c>
      <c r="B57" s="31">
        <v>3.5</v>
      </c>
      <c r="E57" s="57" t="s">
        <v>29</v>
      </c>
      <c r="F57" s="9"/>
      <c r="G57" s="9"/>
      <c r="H57" s="74">
        <v>0.1</v>
      </c>
    </row>
    <row r="58" spans="1:11">
      <c r="A58" s="54" t="s">
        <v>42</v>
      </c>
      <c r="B58" s="31">
        <v>0.5</v>
      </c>
      <c r="E58" s="57" t="s">
        <v>25</v>
      </c>
      <c r="F58" s="9"/>
      <c r="G58" s="9"/>
      <c r="H58" s="74">
        <v>0.13</v>
      </c>
    </row>
    <row r="59" spans="1:11" s="60" customFormat="1">
      <c r="A59" s="54" t="s">
        <v>45</v>
      </c>
      <c r="B59" s="31">
        <v>0.5</v>
      </c>
      <c r="C59" s="31"/>
      <c r="D59" s="31"/>
      <c r="E59" s="57" t="s">
        <v>26</v>
      </c>
      <c r="F59" s="9"/>
      <c r="G59" s="9"/>
      <c r="H59" s="74">
        <v>0.03</v>
      </c>
      <c r="I59" s="31"/>
      <c r="J59" s="31"/>
      <c r="K59" s="31"/>
    </row>
    <row r="60" spans="1:11" ht="13.5" thickBot="1">
      <c r="A60" s="54" t="s">
        <v>43</v>
      </c>
      <c r="B60" s="75">
        <v>0.5</v>
      </c>
      <c r="E60" s="72"/>
      <c r="F60" s="9"/>
      <c r="G60" s="9"/>
    </row>
    <row r="61" spans="1:11" ht="13.5" thickTop="1">
      <c r="A61" s="69" t="s">
        <v>44</v>
      </c>
      <c r="B61" s="59">
        <f>MROUND(SUM(B55:B60),0.25)</f>
        <v>6.5</v>
      </c>
      <c r="E61" s="72"/>
      <c r="F61" s="9"/>
      <c r="G61" s="9"/>
    </row>
    <row r="62" spans="1:11">
      <c r="A62" s="69"/>
      <c r="B62" s="59"/>
      <c r="E62" s="57"/>
      <c r="F62" s="9"/>
      <c r="G62" s="9"/>
      <c r="H62" s="74"/>
    </row>
    <row r="63" spans="1:11">
      <c r="A63" s="61" t="s">
        <v>190</v>
      </c>
      <c r="B63" s="59"/>
      <c r="C63" s="59"/>
      <c r="D63" s="59"/>
      <c r="E63" s="59"/>
      <c r="F63" s="59"/>
      <c r="G63" s="59"/>
      <c r="H63" s="59"/>
    </row>
    <row r="64" spans="1:11">
      <c r="A64" s="54" t="s">
        <v>7</v>
      </c>
      <c r="B64" s="31">
        <v>3.52</v>
      </c>
      <c r="C64" s="31">
        <f>B64*3</f>
        <v>10.56</v>
      </c>
      <c r="D64" s="31">
        <f>B64*4.5</f>
        <v>15.84</v>
      </c>
      <c r="F64" s="31">
        <f>0.8*B64</f>
        <v>2.8160000000000003</v>
      </c>
      <c r="G64" s="31">
        <f t="shared" ref="G64:G66" si="33">0.8*C64</f>
        <v>8.4480000000000004</v>
      </c>
      <c r="H64" s="31">
        <f>0.83*D64</f>
        <v>13.1472</v>
      </c>
    </row>
    <row r="65" spans="1:11">
      <c r="A65" s="68" t="s">
        <v>8</v>
      </c>
      <c r="B65" s="31">
        <v>5.28</v>
      </c>
      <c r="C65" s="31">
        <f t="shared" ref="C65:C71" si="34">B65*3</f>
        <v>15.84</v>
      </c>
      <c r="D65" s="31">
        <f t="shared" ref="D65:D71" si="35">B65*4.5</f>
        <v>23.76</v>
      </c>
      <c r="F65" s="31">
        <f t="shared" ref="F65:F66" si="36">0.8*B65</f>
        <v>4.2240000000000002</v>
      </c>
      <c r="G65" s="31">
        <f t="shared" si="33"/>
        <v>12.672000000000001</v>
      </c>
      <c r="H65" s="31">
        <f t="shared" ref="H65:H71" si="37">0.83*D65</f>
        <v>19.720800000000001</v>
      </c>
      <c r="I65" s="60"/>
      <c r="J65" s="60"/>
      <c r="K65" s="60"/>
    </row>
    <row r="66" spans="1:11" s="76" customFormat="1">
      <c r="A66" s="54" t="s">
        <v>10</v>
      </c>
      <c r="B66" s="31">
        <v>0.64</v>
      </c>
      <c r="C66" s="31">
        <f t="shared" si="34"/>
        <v>1.92</v>
      </c>
      <c r="D66" s="31">
        <f t="shared" si="35"/>
        <v>2.88</v>
      </c>
      <c r="E66" s="31"/>
      <c r="F66" s="31">
        <f t="shared" si="36"/>
        <v>0.51200000000000001</v>
      </c>
      <c r="G66" s="31">
        <f t="shared" si="33"/>
        <v>1.536</v>
      </c>
      <c r="H66" s="31">
        <f t="shared" si="37"/>
        <v>2.3903999999999996</v>
      </c>
      <c r="I66" s="31"/>
      <c r="J66" s="31"/>
      <c r="K66" s="31"/>
    </row>
    <row r="67" spans="1:11">
      <c r="A67" s="54" t="s">
        <v>9</v>
      </c>
      <c r="B67" s="31">
        <v>1.1200000000000001</v>
      </c>
      <c r="C67" s="31">
        <f t="shared" si="34"/>
        <v>3.3600000000000003</v>
      </c>
      <c r="D67" s="31">
        <f t="shared" si="35"/>
        <v>5.0400000000000009</v>
      </c>
      <c r="F67" s="31">
        <f>0.8*B67</f>
        <v>0.89600000000000013</v>
      </c>
      <c r="G67" s="31">
        <f>0.8*C67</f>
        <v>2.6880000000000006</v>
      </c>
      <c r="H67" s="31">
        <f t="shared" si="37"/>
        <v>4.1832000000000003</v>
      </c>
    </row>
    <row r="68" spans="1:11">
      <c r="A68" s="54" t="s">
        <v>23</v>
      </c>
      <c r="B68" s="31">
        <v>2.72</v>
      </c>
      <c r="C68" s="31">
        <f t="shared" si="34"/>
        <v>8.16</v>
      </c>
      <c r="D68" s="31">
        <f t="shared" si="35"/>
        <v>12.24</v>
      </c>
      <c r="F68" s="31">
        <f t="shared" ref="F68" si="38">0.8*B68</f>
        <v>2.1760000000000002</v>
      </c>
      <c r="G68" s="31">
        <f t="shared" ref="G68" si="39">0.8*C68</f>
        <v>6.5280000000000005</v>
      </c>
      <c r="H68" s="31">
        <f t="shared" si="37"/>
        <v>10.1592</v>
      </c>
    </row>
    <row r="69" spans="1:11">
      <c r="A69" s="54" t="s">
        <v>174</v>
      </c>
      <c r="B69" s="31">
        <v>0.32</v>
      </c>
      <c r="C69" s="31">
        <f t="shared" si="34"/>
        <v>0.96</v>
      </c>
      <c r="D69" s="31">
        <f t="shared" si="35"/>
        <v>1.44</v>
      </c>
      <c r="F69" s="31">
        <f>0.8*B69</f>
        <v>0.25600000000000001</v>
      </c>
      <c r="G69" s="31">
        <f>0.8*C69</f>
        <v>0.76800000000000002</v>
      </c>
      <c r="H69" s="31">
        <f t="shared" si="37"/>
        <v>1.1951999999999998</v>
      </c>
    </row>
    <row r="70" spans="1:11">
      <c r="A70" s="54" t="s">
        <v>3</v>
      </c>
      <c r="B70" s="31">
        <v>1.76</v>
      </c>
      <c r="C70" s="31">
        <f t="shared" si="34"/>
        <v>5.28</v>
      </c>
      <c r="D70" s="31">
        <f t="shared" si="35"/>
        <v>7.92</v>
      </c>
      <c r="F70" s="31">
        <f t="shared" ref="F70:F71" si="40">0.8*B70</f>
        <v>1.4080000000000001</v>
      </c>
      <c r="G70" s="31">
        <f t="shared" ref="G70:G71" si="41">0.8*C70</f>
        <v>4.2240000000000002</v>
      </c>
      <c r="H70" s="31">
        <f t="shared" si="37"/>
        <v>6.5735999999999999</v>
      </c>
    </row>
    <row r="71" spans="1:11" ht="13.5" thickBot="1">
      <c r="A71" s="54" t="s">
        <v>11</v>
      </c>
      <c r="B71" s="31">
        <v>0.64</v>
      </c>
      <c r="C71" s="31">
        <f t="shared" si="34"/>
        <v>1.92</v>
      </c>
      <c r="D71" s="31">
        <f t="shared" si="35"/>
        <v>2.88</v>
      </c>
      <c r="F71" s="31">
        <f t="shared" si="40"/>
        <v>0.51200000000000001</v>
      </c>
      <c r="G71" s="31">
        <f t="shared" si="41"/>
        <v>1.536</v>
      </c>
      <c r="H71" s="31">
        <f t="shared" si="37"/>
        <v>2.3903999999999996</v>
      </c>
    </row>
    <row r="72" spans="1:11" ht="13.5" thickTop="1">
      <c r="A72" s="69" t="s">
        <v>156</v>
      </c>
      <c r="B72" s="67">
        <f>MROUND(SUM(B64:B71),0.25)</f>
        <v>16</v>
      </c>
      <c r="C72" s="67">
        <f t="shared" ref="C72:D72" si="42">MROUND(SUM(C64:C71),0.25)</f>
        <v>48</v>
      </c>
      <c r="D72" s="67">
        <f t="shared" si="42"/>
        <v>72</v>
      </c>
      <c r="F72" s="67">
        <f>MROUND(SUM(F64:F71),0.25)</f>
        <v>12.75</v>
      </c>
      <c r="G72" s="67">
        <f t="shared" ref="G72:H72" si="43">MROUND(SUM(G64:G71),0.25)</f>
        <v>38.5</v>
      </c>
      <c r="H72" s="67">
        <f t="shared" si="43"/>
        <v>59.75</v>
      </c>
    </row>
    <row r="73" spans="1:11">
      <c r="A73" s="69"/>
      <c r="B73" s="59"/>
      <c r="E73" s="57"/>
      <c r="F73" s="9"/>
      <c r="G73" s="9"/>
      <c r="H73" s="74"/>
    </row>
    <row r="74" spans="1:11">
      <c r="A74" s="61" t="s">
        <v>154</v>
      </c>
      <c r="B74" s="59"/>
      <c r="C74" s="59"/>
      <c r="D74" s="59"/>
      <c r="E74" s="59"/>
      <c r="F74" s="59"/>
      <c r="G74" s="59"/>
      <c r="H74" s="59"/>
    </row>
    <row r="75" spans="1:11">
      <c r="A75" s="54" t="s">
        <v>7</v>
      </c>
      <c r="B75" s="31">
        <v>8.8000000000000007</v>
      </c>
      <c r="C75" s="31">
        <f>B75*2</f>
        <v>17.600000000000001</v>
      </c>
      <c r="D75" s="31">
        <f>B75*4</f>
        <v>35.200000000000003</v>
      </c>
      <c r="F75" s="31">
        <f>0.7*B75</f>
        <v>6.16</v>
      </c>
      <c r="G75" s="31">
        <f t="shared" ref="G75:G77" si="44">0.8*C75</f>
        <v>14.080000000000002</v>
      </c>
      <c r="H75" s="31">
        <f>0.75*D75</f>
        <v>26.400000000000002</v>
      </c>
    </row>
    <row r="76" spans="1:11">
      <c r="A76" s="68" t="s">
        <v>8</v>
      </c>
      <c r="B76" s="31">
        <v>13.2</v>
      </c>
      <c r="C76" s="31">
        <f t="shared" ref="C76:C82" si="45">B76*2</f>
        <v>26.4</v>
      </c>
      <c r="D76" s="31">
        <f t="shared" ref="D76:D82" si="46">B76*4</f>
        <v>52.8</v>
      </c>
      <c r="F76" s="31">
        <f t="shared" ref="F76:F82" si="47">0.7*B76</f>
        <v>9.2399999999999984</v>
      </c>
      <c r="G76" s="31">
        <f t="shared" si="44"/>
        <v>21.12</v>
      </c>
      <c r="H76" s="31">
        <f t="shared" ref="H76:H82" si="48">0.75*D76</f>
        <v>39.599999999999994</v>
      </c>
    </row>
    <row r="77" spans="1:11">
      <c r="A77" s="54" t="s">
        <v>10</v>
      </c>
      <c r="B77" s="31">
        <v>1.6</v>
      </c>
      <c r="C77" s="31">
        <f t="shared" si="45"/>
        <v>3.2</v>
      </c>
      <c r="D77" s="31">
        <f t="shared" si="46"/>
        <v>6.4</v>
      </c>
      <c r="F77" s="31">
        <f t="shared" si="47"/>
        <v>1.1199999999999999</v>
      </c>
      <c r="G77" s="31">
        <f t="shared" si="44"/>
        <v>2.5600000000000005</v>
      </c>
      <c r="H77" s="31">
        <f t="shared" si="48"/>
        <v>4.8000000000000007</v>
      </c>
    </row>
    <row r="78" spans="1:11">
      <c r="A78" s="54" t="s">
        <v>9</v>
      </c>
      <c r="B78" s="31">
        <v>2.8</v>
      </c>
      <c r="C78" s="31">
        <f t="shared" si="45"/>
        <v>5.6</v>
      </c>
      <c r="D78" s="31">
        <f t="shared" si="46"/>
        <v>11.2</v>
      </c>
      <c r="F78" s="31">
        <f t="shared" si="47"/>
        <v>1.9599999999999997</v>
      </c>
      <c r="G78" s="31">
        <f>0.8*C78</f>
        <v>4.4799999999999995</v>
      </c>
      <c r="H78" s="31">
        <f t="shared" si="48"/>
        <v>8.3999999999999986</v>
      </c>
    </row>
    <row r="79" spans="1:11">
      <c r="A79" s="54" t="s">
        <v>23</v>
      </c>
      <c r="B79" s="31">
        <v>6.8</v>
      </c>
      <c r="C79" s="31">
        <f t="shared" si="45"/>
        <v>13.6</v>
      </c>
      <c r="D79" s="31">
        <f t="shared" si="46"/>
        <v>27.2</v>
      </c>
      <c r="F79" s="31">
        <f t="shared" si="47"/>
        <v>4.76</v>
      </c>
      <c r="G79" s="31">
        <f t="shared" ref="G79" si="49">0.8*C79</f>
        <v>10.88</v>
      </c>
      <c r="H79" s="31">
        <f t="shared" si="48"/>
        <v>20.399999999999999</v>
      </c>
    </row>
    <row r="80" spans="1:11">
      <c r="A80" s="54" t="s">
        <v>174</v>
      </c>
      <c r="B80" s="31">
        <v>0.8</v>
      </c>
      <c r="C80" s="31">
        <f t="shared" si="45"/>
        <v>1.6</v>
      </c>
      <c r="D80" s="31">
        <f t="shared" si="46"/>
        <v>3.2</v>
      </c>
      <c r="F80" s="31">
        <f t="shared" si="47"/>
        <v>0.55999999999999994</v>
      </c>
      <c r="G80" s="31">
        <f>0.8*C80</f>
        <v>1.2800000000000002</v>
      </c>
      <c r="H80" s="31">
        <f t="shared" si="48"/>
        <v>2.4000000000000004</v>
      </c>
      <c r="I80" s="76"/>
      <c r="J80" s="76"/>
      <c r="K80" s="76"/>
    </row>
    <row r="81" spans="1:8">
      <c r="A81" s="54" t="s">
        <v>3</v>
      </c>
      <c r="B81" s="31">
        <v>4.4000000000000004</v>
      </c>
      <c r="C81" s="31">
        <f t="shared" si="45"/>
        <v>8.8000000000000007</v>
      </c>
      <c r="D81" s="31">
        <f t="shared" si="46"/>
        <v>17.600000000000001</v>
      </c>
      <c r="F81" s="31">
        <f t="shared" si="47"/>
        <v>3.08</v>
      </c>
      <c r="G81" s="31">
        <f t="shared" ref="G81:G82" si="50">0.8*C81</f>
        <v>7.0400000000000009</v>
      </c>
      <c r="H81" s="31">
        <f t="shared" si="48"/>
        <v>13.200000000000001</v>
      </c>
    </row>
    <row r="82" spans="1:8" ht="13.5" thickBot="1">
      <c r="A82" s="54" t="s">
        <v>11</v>
      </c>
      <c r="B82" s="31">
        <v>1.6</v>
      </c>
      <c r="C82" s="31">
        <f t="shared" si="45"/>
        <v>3.2</v>
      </c>
      <c r="D82" s="31">
        <f t="shared" si="46"/>
        <v>6.4</v>
      </c>
      <c r="F82" s="31">
        <f t="shared" si="47"/>
        <v>1.1199999999999999</v>
      </c>
      <c r="G82" s="31">
        <f t="shared" si="50"/>
        <v>2.5600000000000005</v>
      </c>
      <c r="H82" s="31">
        <f t="shared" si="48"/>
        <v>4.8000000000000007</v>
      </c>
    </row>
    <row r="83" spans="1:8" ht="13.5" thickTop="1">
      <c r="A83" s="69" t="s">
        <v>155</v>
      </c>
      <c r="B83" s="67">
        <f>MROUND(SUM(B75:B82),0.25)</f>
        <v>40</v>
      </c>
      <c r="C83" s="67">
        <f t="shared" ref="C83:D83" si="51">MROUND(SUM(C75:C82),0.25)</f>
        <v>80</v>
      </c>
      <c r="D83" s="67">
        <f t="shared" si="51"/>
        <v>160</v>
      </c>
      <c r="F83" s="67">
        <f>MROUND(SUM(F75:F82),0.25)</f>
        <v>28</v>
      </c>
      <c r="G83" s="67">
        <f t="shared" ref="G83:H83" si="52">MROUND(SUM(G75:G82),0.25)</f>
        <v>64</v>
      </c>
      <c r="H83" s="67">
        <f t="shared" si="52"/>
        <v>120</v>
      </c>
    </row>
    <row r="84" spans="1:8">
      <c r="A84" s="69"/>
      <c r="B84" s="77"/>
      <c r="C84" s="77"/>
      <c r="D84" s="77"/>
      <c r="F84" s="77"/>
      <c r="G84" s="77"/>
      <c r="H84" s="77"/>
    </row>
    <row r="85" spans="1:8">
      <c r="A85" s="61" t="s">
        <v>157</v>
      </c>
      <c r="B85" s="59"/>
      <c r="C85" s="59"/>
      <c r="D85" s="59"/>
      <c r="E85" s="59"/>
      <c r="F85" s="59"/>
      <c r="G85" s="59"/>
      <c r="H85" s="59"/>
    </row>
    <row r="86" spans="1:8">
      <c r="A86" s="54" t="s">
        <v>7</v>
      </c>
      <c r="B86" s="31">
        <v>2.64</v>
      </c>
      <c r="C86" s="31">
        <f>B86*3.3</f>
        <v>8.7119999999999997</v>
      </c>
      <c r="D86" s="31">
        <f>B86*6</f>
        <v>15.84</v>
      </c>
      <c r="F86" s="31">
        <f>0.67*B86</f>
        <v>1.7688000000000001</v>
      </c>
      <c r="G86" s="31">
        <f>0.7*C86</f>
        <v>6.0983999999999998</v>
      </c>
      <c r="H86" s="31">
        <f>0.83*D86</f>
        <v>13.1472</v>
      </c>
    </row>
    <row r="87" spans="1:8">
      <c r="A87" s="68" t="s">
        <v>8</v>
      </c>
      <c r="B87" s="31">
        <v>3.96</v>
      </c>
      <c r="C87" s="31">
        <f t="shared" ref="C87:C93" si="53">B87*3.3</f>
        <v>13.068</v>
      </c>
      <c r="D87" s="31">
        <f t="shared" ref="D87:D93" si="54">B87*6</f>
        <v>23.759999999999998</v>
      </c>
      <c r="F87" s="31">
        <f t="shared" ref="F87:F93" si="55">0.67*B87</f>
        <v>2.6532</v>
      </c>
      <c r="G87" s="31">
        <f t="shared" ref="G87:G93" si="56">0.7*C87</f>
        <v>9.1475999999999988</v>
      </c>
      <c r="H87" s="31">
        <f t="shared" ref="H87:H93" si="57">0.83*D87</f>
        <v>19.720799999999997</v>
      </c>
    </row>
    <row r="88" spans="1:8">
      <c r="A88" s="54" t="s">
        <v>10</v>
      </c>
      <c r="B88" s="31">
        <v>0.48</v>
      </c>
      <c r="C88" s="31">
        <f t="shared" si="53"/>
        <v>1.5839999999999999</v>
      </c>
      <c r="D88" s="31">
        <f t="shared" si="54"/>
        <v>2.88</v>
      </c>
      <c r="F88" s="31">
        <f t="shared" si="55"/>
        <v>0.3216</v>
      </c>
      <c r="G88" s="31">
        <f t="shared" si="56"/>
        <v>1.1087999999999998</v>
      </c>
      <c r="H88" s="31">
        <f t="shared" si="57"/>
        <v>2.3903999999999996</v>
      </c>
    </row>
    <row r="89" spans="1:8">
      <c r="A89" s="54" t="s">
        <v>9</v>
      </c>
      <c r="B89" s="31">
        <v>0.84</v>
      </c>
      <c r="C89" s="31">
        <f t="shared" si="53"/>
        <v>2.7719999999999998</v>
      </c>
      <c r="D89" s="31">
        <f t="shared" si="54"/>
        <v>5.04</v>
      </c>
      <c r="F89" s="31">
        <f t="shared" si="55"/>
        <v>0.56279999999999997</v>
      </c>
      <c r="G89" s="31">
        <f t="shared" si="56"/>
        <v>1.9403999999999997</v>
      </c>
      <c r="H89" s="31">
        <f t="shared" si="57"/>
        <v>4.1832000000000003</v>
      </c>
    </row>
    <row r="90" spans="1:8">
      <c r="A90" s="54" t="s">
        <v>23</v>
      </c>
      <c r="B90" s="31">
        <v>2.04</v>
      </c>
      <c r="C90" s="31">
        <f t="shared" si="53"/>
        <v>6.7319999999999993</v>
      </c>
      <c r="D90" s="31">
        <f t="shared" si="54"/>
        <v>12.24</v>
      </c>
      <c r="F90" s="31">
        <f t="shared" si="55"/>
        <v>1.3668</v>
      </c>
      <c r="G90" s="31">
        <f t="shared" si="56"/>
        <v>4.7123999999999988</v>
      </c>
      <c r="H90" s="31">
        <f t="shared" si="57"/>
        <v>10.1592</v>
      </c>
    </row>
    <row r="91" spans="1:8">
      <c r="A91" s="54" t="s">
        <v>174</v>
      </c>
      <c r="B91" s="31">
        <v>0.24</v>
      </c>
      <c r="C91" s="31">
        <f t="shared" si="53"/>
        <v>0.79199999999999993</v>
      </c>
      <c r="D91" s="31">
        <f t="shared" si="54"/>
        <v>1.44</v>
      </c>
      <c r="F91" s="31">
        <f t="shared" si="55"/>
        <v>0.1608</v>
      </c>
      <c r="G91" s="31">
        <f t="shared" si="56"/>
        <v>0.55439999999999989</v>
      </c>
      <c r="H91" s="31">
        <f t="shared" si="57"/>
        <v>1.1951999999999998</v>
      </c>
    </row>
    <row r="92" spans="1:8">
      <c r="A92" s="54" t="s">
        <v>3</v>
      </c>
      <c r="B92" s="31">
        <v>1.32</v>
      </c>
      <c r="C92" s="31">
        <f t="shared" si="53"/>
        <v>4.3559999999999999</v>
      </c>
      <c r="D92" s="31">
        <f t="shared" si="54"/>
        <v>7.92</v>
      </c>
      <c r="F92" s="31">
        <f t="shared" si="55"/>
        <v>0.88440000000000007</v>
      </c>
      <c r="G92" s="31">
        <f t="shared" si="56"/>
        <v>3.0491999999999999</v>
      </c>
      <c r="H92" s="31">
        <f t="shared" si="57"/>
        <v>6.5735999999999999</v>
      </c>
    </row>
    <row r="93" spans="1:8" ht="13.5" thickBot="1">
      <c r="A93" s="54" t="s">
        <v>11</v>
      </c>
      <c r="B93" s="31">
        <v>0.48</v>
      </c>
      <c r="C93" s="31">
        <f t="shared" si="53"/>
        <v>1.5839999999999999</v>
      </c>
      <c r="D93" s="31">
        <f t="shared" si="54"/>
        <v>2.88</v>
      </c>
      <c r="F93" s="31">
        <f t="shared" si="55"/>
        <v>0.3216</v>
      </c>
      <c r="G93" s="31">
        <f t="shared" si="56"/>
        <v>1.1087999999999998</v>
      </c>
      <c r="H93" s="31">
        <f t="shared" si="57"/>
        <v>2.3903999999999996</v>
      </c>
    </row>
    <row r="94" spans="1:8" ht="13.5" thickTop="1">
      <c r="A94" s="69" t="s">
        <v>158</v>
      </c>
      <c r="B94" s="67">
        <f>MROUND(SUM(B86:B93),0.25)</f>
        <v>12</v>
      </c>
      <c r="C94" s="67">
        <f t="shared" ref="C94:D94" si="58">MROUND(SUM(C86:C93),0.25)</f>
        <v>39.5</v>
      </c>
      <c r="D94" s="67">
        <f t="shared" si="58"/>
        <v>72</v>
      </c>
      <c r="F94" s="67">
        <f>MROUND(SUM(F86:F93),0.25)</f>
        <v>8</v>
      </c>
      <c r="G94" s="67">
        <f t="shared" ref="G94:H94" si="59">MROUND(SUM(G86:G93),0.25)</f>
        <v>27.75</v>
      </c>
      <c r="H94" s="67">
        <f t="shared" si="59"/>
        <v>59.75</v>
      </c>
    </row>
    <row r="95" spans="1:8">
      <c r="A95" s="69"/>
      <c r="B95" s="77"/>
      <c r="C95" s="77"/>
      <c r="D95" s="77"/>
      <c r="F95" s="77"/>
      <c r="G95" s="77"/>
      <c r="H95" s="77"/>
    </row>
    <row r="96" spans="1:8">
      <c r="A96" s="69"/>
      <c r="B96" s="77"/>
      <c r="C96" s="77"/>
      <c r="D96" s="77"/>
      <c r="F96" s="77"/>
      <c r="G96" s="77"/>
      <c r="H96" s="77"/>
    </row>
    <row r="97" spans="1:11">
      <c r="A97" s="61" t="s">
        <v>180</v>
      </c>
      <c r="B97" s="59"/>
      <c r="C97" s="59"/>
      <c r="D97" s="59"/>
      <c r="E97" s="59"/>
      <c r="F97" s="59"/>
      <c r="G97" s="59"/>
      <c r="H97" s="59"/>
    </row>
    <row r="98" spans="1:11">
      <c r="A98" s="54" t="s">
        <v>7</v>
      </c>
      <c r="B98" s="31">
        <v>0.6</v>
      </c>
      <c r="C98" s="31">
        <f>B98*1.67</f>
        <v>1.002</v>
      </c>
      <c r="D98" s="31">
        <f>B98*2.67</f>
        <v>1.6019999999999999</v>
      </c>
      <c r="F98" s="31">
        <f>0.34*B98</f>
        <v>0.20400000000000001</v>
      </c>
      <c r="G98" s="31">
        <f>0.5*C98</f>
        <v>0.501</v>
      </c>
      <c r="H98" s="31">
        <f>0.63*D98</f>
        <v>1.0092599999999998</v>
      </c>
    </row>
    <row r="99" spans="1:11" s="76" customFormat="1">
      <c r="A99" s="54" t="s">
        <v>23</v>
      </c>
      <c r="B99" s="31">
        <v>1.5</v>
      </c>
      <c r="C99" s="31">
        <f t="shared" ref="C99:C100" si="60">B99*1.67</f>
        <v>2.5049999999999999</v>
      </c>
      <c r="D99" s="31">
        <f t="shared" ref="D99:D100" si="61">B99*2.67</f>
        <v>4.0049999999999999</v>
      </c>
      <c r="E99" s="31"/>
      <c r="F99" s="31">
        <f t="shared" ref="F99:F100" si="62">0.34*B99</f>
        <v>0.51</v>
      </c>
      <c r="G99" s="31">
        <f t="shared" ref="G99:G100" si="63">0.5*C99</f>
        <v>1.2524999999999999</v>
      </c>
      <c r="H99" s="31">
        <f t="shared" ref="H99:H100" si="64">0.63*D99</f>
        <v>2.5231499999999998</v>
      </c>
      <c r="I99" s="31"/>
      <c r="J99" s="31"/>
      <c r="K99" s="31"/>
    </row>
    <row r="100" spans="1:11" ht="13.5" thickBot="1">
      <c r="A100" s="54" t="s">
        <v>160</v>
      </c>
      <c r="B100" s="31">
        <v>0.9</v>
      </c>
      <c r="C100" s="31">
        <f t="shared" si="60"/>
        <v>1.5029999999999999</v>
      </c>
      <c r="D100" s="31">
        <f t="shared" si="61"/>
        <v>2.403</v>
      </c>
      <c r="F100" s="31">
        <f t="shared" si="62"/>
        <v>0.30600000000000005</v>
      </c>
      <c r="G100" s="31">
        <f t="shared" si="63"/>
        <v>0.75149999999999995</v>
      </c>
      <c r="H100" s="31">
        <f t="shared" si="64"/>
        <v>1.51389</v>
      </c>
    </row>
    <row r="101" spans="1:11" ht="13.5" thickTop="1">
      <c r="A101" s="69" t="s">
        <v>159</v>
      </c>
      <c r="B101" s="67">
        <f>MROUND(SUM(B98:B100),0.25)</f>
        <v>3</v>
      </c>
      <c r="C101" s="67">
        <f>MROUND(SUM(C98:C100),0.25)</f>
        <v>5</v>
      </c>
      <c r="D101" s="67">
        <f>MROUND(SUM(D98:D100),0.25)</f>
        <v>8</v>
      </c>
      <c r="F101" s="67">
        <f>MROUND(SUM(F98:F100),0.25)</f>
        <v>1</v>
      </c>
      <c r="G101" s="67">
        <f>MROUND(SUM(G98:G100),0.25)</f>
        <v>2.5</v>
      </c>
      <c r="H101" s="67">
        <f>MROUND(SUM(H98:H100),0.25)</f>
        <v>5</v>
      </c>
    </row>
    <row r="102" spans="1:11">
      <c r="A102" s="69"/>
      <c r="B102" s="77"/>
      <c r="C102" s="77"/>
      <c r="D102" s="77"/>
      <c r="F102" s="77"/>
      <c r="G102" s="77"/>
      <c r="H102" s="77"/>
      <c r="I102" s="76"/>
      <c r="J102" s="76"/>
      <c r="K102" s="76"/>
    </row>
    <row r="103" spans="1:11" ht="25.5">
      <c r="A103" s="61" t="s">
        <v>161</v>
      </c>
      <c r="B103" s="59"/>
      <c r="C103" s="59"/>
      <c r="D103" s="59"/>
      <c r="E103" s="59"/>
      <c r="F103" s="59"/>
      <c r="G103" s="59"/>
      <c r="H103" s="59"/>
    </row>
    <row r="104" spans="1:11">
      <c r="A104" s="54" t="s">
        <v>162</v>
      </c>
      <c r="B104" s="31">
        <v>5.6</v>
      </c>
      <c r="C104" s="31">
        <f>B104*2.5</f>
        <v>14</v>
      </c>
      <c r="D104" s="31">
        <f>B104*5</f>
        <v>28</v>
      </c>
      <c r="F104" s="31">
        <f>0.5*B104</f>
        <v>2.8</v>
      </c>
      <c r="G104" s="31">
        <f t="shared" ref="G104:H104" si="65">0.5*C104</f>
        <v>7</v>
      </c>
      <c r="H104" s="31">
        <f t="shared" si="65"/>
        <v>14</v>
      </c>
    </row>
    <row r="105" spans="1:11">
      <c r="A105" s="68" t="s">
        <v>163</v>
      </c>
      <c r="B105" s="31">
        <v>3.2</v>
      </c>
      <c r="C105" s="31">
        <f t="shared" ref="C105:C108" si="66">B105*2.5</f>
        <v>8</v>
      </c>
      <c r="D105" s="31">
        <f t="shared" ref="D105:D108" si="67">B105*5</f>
        <v>16</v>
      </c>
      <c r="F105" s="31">
        <f t="shared" ref="F105:F108" si="68">0.5*B105</f>
        <v>1.6</v>
      </c>
      <c r="G105" s="31">
        <f t="shared" ref="G105:G108" si="69">0.5*C105</f>
        <v>4</v>
      </c>
      <c r="H105" s="31">
        <f t="shared" ref="H105:H108" si="70">0.5*D105</f>
        <v>8</v>
      </c>
    </row>
    <row r="106" spans="1:11">
      <c r="A106" s="68" t="s">
        <v>165</v>
      </c>
      <c r="B106" s="31">
        <v>3.2</v>
      </c>
      <c r="C106" s="31">
        <f t="shared" si="66"/>
        <v>8</v>
      </c>
      <c r="D106" s="31">
        <f t="shared" si="67"/>
        <v>16</v>
      </c>
      <c r="F106" s="31">
        <f t="shared" si="68"/>
        <v>1.6</v>
      </c>
      <c r="G106" s="31">
        <f t="shared" si="69"/>
        <v>4</v>
      </c>
      <c r="H106" s="31">
        <f t="shared" si="70"/>
        <v>8</v>
      </c>
    </row>
    <row r="107" spans="1:11">
      <c r="A107" s="54" t="s">
        <v>164</v>
      </c>
      <c r="B107" s="31">
        <v>3.2</v>
      </c>
      <c r="C107" s="31">
        <f t="shared" si="66"/>
        <v>8</v>
      </c>
      <c r="D107" s="31">
        <f t="shared" si="67"/>
        <v>16</v>
      </c>
      <c r="F107" s="31">
        <f t="shared" si="68"/>
        <v>1.6</v>
      </c>
      <c r="G107" s="31">
        <f t="shared" si="69"/>
        <v>4</v>
      </c>
      <c r="H107" s="31">
        <f t="shared" si="70"/>
        <v>8</v>
      </c>
    </row>
    <row r="108" spans="1:11" ht="13.5" thickBot="1">
      <c r="A108" s="54" t="s">
        <v>3</v>
      </c>
      <c r="B108" s="31">
        <v>0.8</v>
      </c>
      <c r="C108" s="31">
        <f t="shared" si="66"/>
        <v>2</v>
      </c>
      <c r="D108" s="31">
        <f t="shared" si="67"/>
        <v>4</v>
      </c>
      <c r="F108" s="31">
        <f t="shared" si="68"/>
        <v>0.4</v>
      </c>
      <c r="G108" s="31">
        <f t="shared" si="69"/>
        <v>1</v>
      </c>
      <c r="H108" s="31">
        <f t="shared" si="70"/>
        <v>2</v>
      </c>
    </row>
    <row r="109" spans="1:11" ht="13.5" thickTop="1">
      <c r="A109" s="69" t="s">
        <v>166</v>
      </c>
      <c r="B109" s="67">
        <f>MROUND(SUM(B104:B108),0.25)</f>
        <v>16</v>
      </c>
      <c r="C109" s="67">
        <f>MROUND(SUM(C104:C108),0.25)</f>
        <v>40</v>
      </c>
      <c r="D109" s="67">
        <f>MROUND(SUM(D104:D108),0.25)</f>
        <v>80</v>
      </c>
      <c r="F109" s="67">
        <f>MROUND(SUM(F104:F108),0.25)</f>
        <v>8</v>
      </c>
      <c r="G109" s="67">
        <f>MROUND(SUM(G104:G108),0.25)</f>
        <v>20</v>
      </c>
      <c r="H109" s="67">
        <f>MROUND(SUM(H104:H108),0.25)</f>
        <v>40</v>
      </c>
    </row>
    <row r="110" spans="1:11">
      <c r="A110" s="69"/>
      <c r="B110" s="77"/>
      <c r="C110" s="77"/>
      <c r="D110" s="77"/>
      <c r="F110" s="77"/>
      <c r="G110" s="77"/>
      <c r="H110" s="77"/>
    </row>
    <row r="111" spans="1:11" ht="15.75">
      <c r="A111" s="266" t="s">
        <v>171</v>
      </c>
      <c r="B111" s="267" t="s">
        <v>0</v>
      </c>
      <c r="C111" s="267" t="s">
        <v>116</v>
      </c>
      <c r="D111" s="267" t="s">
        <v>69</v>
      </c>
      <c r="E111" s="267"/>
      <c r="F111" s="267"/>
      <c r="G111" s="267"/>
      <c r="H111" s="60"/>
    </row>
    <row r="112" spans="1:11" ht="15.75">
      <c r="A112" s="54" t="s">
        <v>216</v>
      </c>
      <c r="B112" s="55">
        <v>0</v>
      </c>
      <c r="C112" s="56"/>
      <c r="D112" s="56"/>
      <c r="E112" s="56"/>
      <c r="F112" s="56"/>
      <c r="G112" s="56"/>
      <c r="H112" s="60"/>
    </row>
    <row r="113" spans="1:8">
      <c r="A113" s="54" t="s">
        <v>67</v>
      </c>
      <c r="B113" s="55">
        <v>1.25</v>
      </c>
      <c r="E113" s="57"/>
      <c r="F113" s="9"/>
      <c r="G113" s="9"/>
      <c r="H113" s="74"/>
    </row>
    <row r="114" spans="1:8">
      <c r="A114" s="54" t="s">
        <v>116</v>
      </c>
      <c r="B114" s="55">
        <v>1</v>
      </c>
      <c r="C114" s="55"/>
      <c r="D114" s="55"/>
      <c r="E114" s="57"/>
      <c r="F114" s="9"/>
      <c r="G114" s="9"/>
      <c r="H114" s="74"/>
    </row>
    <row r="115" spans="1:8">
      <c r="A115" s="54" t="s">
        <v>69</v>
      </c>
      <c r="B115" s="55">
        <v>0.85</v>
      </c>
      <c r="C115" s="55"/>
      <c r="D115" s="55"/>
      <c r="E115" s="57"/>
      <c r="F115" s="9"/>
      <c r="G115" s="9"/>
      <c r="H115" s="74"/>
    </row>
    <row r="116" spans="1:8">
      <c r="A116" s="54"/>
      <c r="B116" s="55"/>
      <c r="C116" s="55"/>
      <c r="D116" s="55"/>
      <c r="E116" s="57"/>
      <c r="F116" s="9"/>
      <c r="G116" s="9"/>
      <c r="H116" s="74"/>
    </row>
    <row r="117" spans="1:8">
      <c r="A117" s="54"/>
      <c r="B117" s="55"/>
      <c r="C117" s="55"/>
      <c r="D117" s="55"/>
      <c r="E117" s="57"/>
      <c r="F117" s="9"/>
      <c r="G117" s="9"/>
      <c r="H117" s="74"/>
    </row>
    <row r="118" spans="1:8">
      <c r="A118" s="54"/>
      <c r="B118" s="55"/>
      <c r="C118" s="55"/>
      <c r="D118" s="55"/>
      <c r="E118" s="57"/>
      <c r="F118" s="9"/>
      <c r="G118" s="9"/>
      <c r="H118" s="74"/>
    </row>
    <row r="119" spans="1:8">
      <c r="A119" s="54"/>
      <c r="B119" s="55"/>
      <c r="C119" s="55"/>
      <c r="D119" s="55"/>
      <c r="E119" s="57"/>
      <c r="F119" s="9"/>
      <c r="G119" s="9"/>
      <c r="H119" s="74"/>
    </row>
    <row r="120" spans="1:8">
      <c r="A120" s="54"/>
      <c r="B120" s="55"/>
      <c r="C120" s="55"/>
      <c r="D120" s="55"/>
      <c r="E120" s="57"/>
      <c r="F120" s="9"/>
      <c r="G120" s="9"/>
      <c r="H120" s="74"/>
    </row>
    <row r="121" spans="1:8">
      <c r="A121" s="54"/>
      <c r="B121" s="55"/>
      <c r="C121" s="55"/>
      <c r="D121" s="55"/>
      <c r="E121" s="57"/>
      <c r="F121" s="9"/>
      <c r="G121" s="9"/>
      <c r="H121" s="74"/>
    </row>
    <row r="122" spans="1:8">
      <c r="A122" s="54"/>
      <c r="B122" s="55"/>
      <c r="C122" s="55"/>
      <c r="D122" s="55"/>
      <c r="E122" s="57"/>
      <c r="F122" s="9"/>
      <c r="G122" s="9"/>
      <c r="H122" s="74"/>
    </row>
    <row r="123" spans="1:8">
      <c r="A123" s="54"/>
      <c r="B123" s="55"/>
      <c r="C123" s="55"/>
      <c r="D123" s="55"/>
      <c r="E123" s="57"/>
      <c r="F123" s="9"/>
      <c r="G123" s="9"/>
      <c r="H123" s="74"/>
    </row>
    <row r="124" spans="1:8">
      <c r="A124" s="54"/>
      <c r="B124" s="55"/>
      <c r="C124" s="55"/>
      <c r="D124" s="55"/>
      <c r="E124" s="57"/>
      <c r="F124" s="9"/>
      <c r="G124" s="9"/>
      <c r="H124" s="74"/>
    </row>
    <row r="125" spans="1:8">
      <c r="A125" s="54"/>
      <c r="B125" s="78"/>
      <c r="C125" s="55"/>
      <c r="D125" s="55"/>
      <c r="E125" s="57"/>
      <c r="F125" s="9"/>
      <c r="G125" s="9"/>
      <c r="H125" s="74"/>
    </row>
    <row r="126" spans="1:8">
      <c r="A126" s="69"/>
      <c r="B126" s="59"/>
      <c r="E126" s="57"/>
      <c r="F126" s="9"/>
      <c r="G126" s="9"/>
      <c r="H126" s="74"/>
    </row>
    <row r="127" spans="1:8" ht="15.75">
      <c r="A127" s="227" t="s">
        <v>71</v>
      </c>
      <c r="B127" s="213" t="s">
        <v>62</v>
      </c>
      <c r="C127" s="213" t="s">
        <v>63</v>
      </c>
      <c r="D127" s="213" t="s">
        <v>64</v>
      </c>
      <c r="E127" s="213" t="s">
        <v>72</v>
      </c>
      <c r="F127" s="213"/>
      <c r="G127" s="213"/>
      <c r="H127" s="79"/>
    </row>
    <row r="128" spans="1:8">
      <c r="A128" s="69"/>
      <c r="B128" s="59"/>
      <c r="E128" s="57"/>
      <c r="F128" s="9"/>
      <c r="G128" s="9"/>
      <c r="H128" s="74"/>
    </row>
    <row r="129" spans="1:8">
      <c r="A129" s="80" t="s">
        <v>74</v>
      </c>
      <c r="F129" s="9"/>
      <c r="G129" s="9"/>
      <c r="H129" s="74"/>
    </row>
    <row r="130" spans="1:8">
      <c r="A130" s="81" t="s">
        <v>200</v>
      </c>
      <c r="B130" s="31">
        <v>4.5</v>
      </c>
      <c r="C130" s="31">
        <v>9</v>
      </c>
      <c r="D130" s="31">
        <v>13.5</v>
      </c>
      <c r="E130" s="57">
        <v>18</v>
      </c>
      <c r="F130" s="9"/>
      <c r="G130" s="9"/>
      <c r="H130" s="74"/>
    </row>
    <row r="131" spans="1:8">
      <c r="A131" s="81" t="s">
        <v>46</v>
      </c>
      <c r="B131" s="31">
        <v>2.25</v>
      </c>
      <c r="C131" s="31">
        <v>4.5</v>
      </c>
      <c r="D131" s="31">
        <v>6.75</v>
      </c>
      <c r="E131" s="31">
        <v>9</v>
      </c>
      <c r="F131" s="9"/>
      <c r="G131" s="9"/>
      <c r="H131" s="74"/>
    </row>
    <row r="132" spans="1:8">
      <c r="A132" s="81" t="s">
        <v>153</v>
      </c>
      <c r="B132" s="31">
        <v>2</v>
      </c>
      <c r="C132" s="31">
        <v>4</v>
      </c>
      <c r="D132" s="31">
        <v>6</v>
      </c>
      <c r="E132" s="31">
        <v>8</v>
      </c>
      <c r="F132" s="9"/>
      <c r="G132" s="9"/>
      <c r="H132" s="74"/>
    </row>
    <row r="133" spans="1:8">
      <c r="A133" s="81" t="s">
        <v>190</v>
      </c>
      <c r="B133" s="31">
        <v>5</v>
      </c>
      <c r="C133" s="31">
        <v>10</v>
      </c>
      <c r="D133" s="31">
        <v>15</v>
      </c>
      <c r="E133" s="31">
        <v>20</v>
      </c>
      <c r="F133" s="9"/>
      <c r="G133" s="9"/>
      <c r="H133" s="74"/>
    </row>
    <row r="134" spans="1:8">
      <c r="A134" s="81" t="s">
        <v>175</v>
      </c>
      <c r="B134" s="31">
        <v>4.5</v>
      </c>
      <c r="C134" s="31">
        <v>9</v>
      </c>
      <c r="D134" s="31">
        <v>13.5</v>
      </c>
      <c r="E134" s="31">
        <v>18</v>
      </c>
      <c r="F134" s="9"/>
      <c r="G134" s="9"/>
      <c r="H134" s="74"/>
    </row>
    <row r="135" spans="1:8">
      <c r="A135" s="82" t="s">
        <v>51</v>
      </c>
      <c r="B135" s="83">
        <v>0.5</v>
      </c>
      <c r="C135" s="83">
        <v>0.75</v>
      </c>
      <c r="D135" s="83">
        <v>1</v>
      </c>
      <c r="E135" s="83">
        <v>2</v>
      </c>
      <c r="F135" s="9"/>
      <c r="G135" s="9"/>
      <c r="H135" s="74"/>
    </row>
    <row r="136" spans="1:8">
      <c r="A136" s="82" t="s">
        <v>52</v>
      </c>
      <c r="B136" s="83">
        <v>0.75</v>
      </c>
      <c r="C136" s="83">
        <v>1.25</v>
      </c>
      <c r="D136" s="83">
        <v>1.5</v>
      </c>
      <c r="E136" s="83">
        <v>2.5</v>
      </c>
      <c r="F136" s="9"/>
      <c r="G136" s="9"/>
      <c r="H136" s="74"/>
    </row>
    <row r="137" spans="1:8">
      <c r="A137" s="81" t="s">
        <v>50</v>
      </c>
      <c r="B137" s="31">
        <v>0.75</v>
      </c>
      <c r="C137" s="31">
        <v>1.5</v>
      </c>
      <c r="D137" s="31">
        <v>2.5</v>
      </c>
      <c r="E137" s="31">
        <v>3</v>
      </c>
      <c r="F137" s="9"/>
      <c r="G137" s="9"/>
      <c r="H137" s="74"/>
    </row>
    <row r="138" spans="1:8">
      <c r="A138" s="81" t="s">
        <v>123</v>
      </c>
      <c r="B138" s="31">
        <v>0.75</v>
      </c>
      <c r="C138" s="31">
        <v>1.5</v>
      </c>
      <c r="D138" s="31">
        <v>2.5</v>
      </c>
      <c r="E138" s="31">
        <v>3</v>
      </c>
      <c r="F138" s="9"/>
      <c r="G138" s="9"/>
      <c r="H138" s="74"/>
    </row>
    <row r="139" spans="1:8" ht="14.25">
      <c r="A139" s="81" t="s">
        <v>122</v>
      </c>
      <c r="B139" s="31">
        <v>1</v>
      </c>
      <c r="C139" s="31">
        <v>2</v>
      </c>
      <c r="D139" s="31">
        <v>3</v>
      </c>
      <c r="E139" s="31">
        <v>4</v>
      </c>
      <c r="F139" s="9"/>
      <c r="G139" s="9"/>
      <c r="H139" s="46"/>
    </row>
    <row r="140" spans="1:8">
      <c r="A140" s="81" t="s">
        <v>121</v>
      </c>
      <c r="B140" s="31">
        <v>0.75</v>
      </c>
      <c r="C140" s="31">
        <v>1.5</v>
      </c>
      <c r="D140" s="31">
        <v>2.5</v>
      </c>
      <c r="E140" s="31">
        <v>3</v>
      </c>
      <c r="F140" s="9"/>
      <c r="G140" s="9"/>
      <c r="H140" s="74"/>
    </row>
    <row r="141" spans="1:8">
      <c r="A141" s="81" t="s">
        <v>124</v>
      </c>
      <c r="B141" s="31">
        <v>0.75</v>
      </c>
      <c r="C141" s="31">
        <v>1.5</v>
      </c>
      <c r="D141" s="31">
        <v>2.5</v>
      </c>
      <c r="E141" s="31">
        <v>3</v>
      </c>
      <c r="F141" s="9"/>
      <c r="G141" s="9"/>
      <c r="H141" s="74"/>
    </row>
    <row r="142" spans="1:8">
      <c r="A142" s="81" t="s">
        <v>38</v>
      </c>
      <c r="B142" s="31">
        <v>1</v>
      </c>
      <c r="C142" s="31">
        <v>1.5</v>
      </c>
      <c r="D142" s="31">
        <v>2</v>
      </c>
      <c r="E142" s="31">
        <v>3</v>
      </c>
      <c r="F142" s="9"/>
      <c r="G142" s="9"/>
      <c r="H142" s="74"/>
    </row>
    <row r="143" spans="1:8">
      <c r="A143" s="31"/>
      <c r="F143" s="9"/>
      <c r="G143" s="9"/>
      <c r="H143" s="74"/>
    </row>
    <row r="144" spans="1:8">
      <c r="A144" s="80" t="s">
        <v>186</v>
      </c>
      <c r="F144" s="9"/>
      <c r="G144" s="9"/>
      <c r="H144" s="74"/>
    </row>
    <row r="145" spans="1:11">
      <c r="A145" s="80"/>
      <c r="F145" s="9"/>
      <c r="G145" s="9"/>
      <c r="H145" s="74"/>
    </row>
    <row r="146" spans="1:11">
      <c r="A146" s="80" t="s">
        <v>212</v>
      </c>
      <c r="B146" s="31">
        <v>1</v>
      </c>
      <c r="C146" s="31">
        <v>1.5</v>
      </c>
      <c r="D146" s="31">
        <v>2.5</v>
      </c>
      <c r="E146" s="31">
        <v>4</v>
      </c>
      <c r="F146" s="9"/>
      <c r="G146" s="9"/>
      <c r="H146" s="74"/>
    </row>
    <row r="147" spans="1:11">
      <c r="A147" s="80" t="s">
        <v>75</v>
      </c>
      <c r="B147" s="31">
        <v>0.5</v>
      </c>
      <c r="C147" s="31">
        <v>1</v>
      </c>
      <c r="D147" s="31">
        <v>2.5</v>
      </c>
      <c r="E147" s="31">
        <v>4</v>
      </c>
      <c r="F147" s="9"/>
      <c r="G147" s="38"/>
      <c r="H147" s="38"/>
      <c r="I147" s="38"/>
      <c r="J147" s="38"/>
    </row>
    <row r="148" spans="1:11">
      <c r="A148" s="80" t="s">
        <v>76</v>
      </c>
      <c r="B148" s="31">
        <v>0.5</v>
      </c>
      <c r="C148" s="31">
        <v>0.5</v>
      </c>
      <c r="D148" s="31">
        <v>1</v>
      </c>
      <c r="E148" s="57">
        <v>1</v>
      </c>
      <c r="F148" s="9"/>
      <c r="G148" s="9"/>
      <c r="H148" s="74"/>
    </row>
    <row r="149" spans="1:11">
      <c r="A149" s="80" t="s">
        <v>142</v>
      </c>
      <c r="B149" s="31">
        <v>0.25</v>
      </c>
      <c r="C149" s="31">
        <v>0.25</v>
      </c>
      <c r="D149" s="31">
        <v>0.5</v>
      </c>
      <c r="E149" s="57">
        <v>0.5</v>
      </c>
      <c r="F149" s="9"/>
      <c r="G149" s="9"/>
      <c r="H149" s="74"/>
    </row>
    <row r="150" spans="1:11">
      <c r="A150" s="80" t="s">
        <v>211</v>
      </c>
      <c r="B150" s="31">
        <v>0.5</v>
      </c>
      <c r="C150" s="31">
        <v>1.5</v>
      </c>
      <c r="D150" s="31">
        <v>3</v>
      </c>
      <c r="E150" s="57">
        <v>6</v>
      </c>
      <c r="F150" s="9"/>
      <c r="G150" s="9"/>
      <c r="K150" s="57"/>
    </row>
    <row r="151" spans="1:11">
      <c r="A151" s="80" t="s">
        <v>58</v>
      </c>
      <c r="B151" s="31">
        <v>0.75</v>
      </c>
      <c r="C151" s="31">
        <v>1.25</v>
      </c>
      <c r="D151" s="31">
        <v>2</v>
      </c>
      <c r="E151" s="57">
        <v>2.5</v>
      </c>
      <c r="F151" s="9"/>
      <c r="G151" s="9"/>
      <c r="H151" s="84"/>
      <c r="I151" s="84"/>
      <c r="J151" s="84"/>
      <c r="K151" s="84"/>
    </row>
    <row r="152" spans="1:11">
      <c r="A152" s="80" t="s">
        <v>49</v>
      </c>
      <c r="E152" s="57"/>
      <c r="F152" s="9"/>
      <c r="G152" s="9"/>
      <c r="H152" s="74"/>
    </row>
    <row r="153" spans="1:11">
      <c r="A153" s="81" t="s">
        <v>59</v>
      </c>
      <c r="B153" s="31">
        <v>5</v>
      </c>
      <c r="C153" s="31">
        <v>10</v>
      </c>
      <c r="D153" s="31">
        <v>20</v>
      </c>
      <c r="E153" s="57">
        <v>40</v>
      </c>
      <c r="F153" s="9"/>
      <c r="G153" s="9"/>
      <c r="H153" s="74"/>
    </row>
    <row r="154" spans="1:11">
      <c r="A154" s="81" t="s">
        <v>60</v>
      </c>
      <c r="B154" s="31">
        <v>5</v>
      </c>
      <c r="C154" s="31">
        <v>10</v>
      </c>
      <c r="D154" s="31">
        <v>20</v>
      </c>
      <c r="E154" s="57">
        <v>40</v>
      </c>
      <c r="F154" s="9"/>
      <c r="G154" s="9"/>
      <c r="H154" s="74"/>
    </row>
    <row r="155" spans="1:11">
      <c r="A155" s="81" t="s">
        <v>61</v>
      </c>
      <c r="B155" s="31">
        <v>5</v>
      </c>
      <c r="C155" s="31">
        <v>10</v>
      </c>
      <c r="D155" s="31">
        <v>20</v>
      </c>
      <c r="E155" s="57">
        <v>40</v>
      </c>
      <c r="F155" s="9"/>
      <c r="G155" s="9"/>
      <c r="H155" s="74"/>
    </row>
    <row r="156" spans="1:11">
      <c r="A156" s="31"/>
      <c r="B156" s="59"/>
      <c r="E156" s="57"/>
      <c r="F156" s="9"/>
      <c r="G156" s="9"/>
      <c r="H156" s="74"/>
    </row>
    <row r="157" spans="1:11">
      <c r="A157" s="80"/>
      <c r="B157" s="59"/>
      <c r="E157" s="57"/>
      <c r="F157" s="9"/>
      <c r="G157" s="9"/>
      <c r="H157" s="74"/>
    </row>
    <row r="158" spans="1:11" ht="15.75">
      <c r="A158" s="227" t="s">
        <v>73</v>
      </c>
      <c r="B158" s="213" t="s">
        <v>0</v>
      </c>
      <c r="C158" s="213" t="s">
        <v>116</v>
      </c>
      <c r="D158" s="213" t="s">
        <v>69</v>
      </c>
      <c r="E158" s="213"/>
      <c r="F158" s="213"/>
      <c r="G158" s="213"/>
      <c r="H158" s="79"/>
    </row>
    <row r="159" spans="1:11">
      <c r="A159" s="54" t="s">
        <v>67</v>
      </c>
      <c r="B159" s="31">
        <v>1.25</v>
      </c>
      <c r="E159" s="57"/>
      <c r="F159" s="9"/>
      <c r="G159" s="9"/>
      <c r="H159" s="74"/>
    </row>
    <row r="160" spans="1:11">
      <c r="A160" s="54" t="s">
        <v>116</v>
      </c>
      <c r="B160" s="31">
        <v>1</v>
      </c>
      <c r="E160" s="57"/>
      <c r="F160" s="9"/>
      <c r="G160" s="9"/>
      <c r="H160" s="74"/>
    </row>
    <row r="161" spans="1:8">
      <c r="A161" s="54" t="s">
        <v>69</v>
      </c>
      <c r="B161" s="31">
        <v>0.95</v>
      </c>
      <c r="E161" s="57"/>
      <c r="F161" s="9"/>
      <c r="G161" s="9"/>
      <c r="H161" s="74"/>
    </row>
    <row r="164" spans="1:8">
      <c r="A164" s="85"/>
    </row>
    <row r="165" spans="1:8">
      <c r="A165" s="86"/>
      <c r="B165" s="87"/>
    </row>
    <row r="166" spans="1:8">
      <c r="A166" s="86"/>
      <c r="B166" s="87"/>
    </row>
    <row r="167" spans="1:8">
      <c r="A167" s="86"/>
      <c r="B167" s="87"/>
    </row>
    <row r="168" spans="1:8">
      <c r="A168" s="86"/>
      <c r="B168" s="87"/>
    </row>
    <row r="169" spans="1:8">
      <c r="A169" s="86"/>
      <c r="B169" s="87"/>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sheetPr codeName="Sheet10"/>
  <dimension ref="A1:F66"/>
  <sheetViews>
    <sheetView workbookViewId="0">
      <pane ySplit="1" topLeftCell="A37" activePane="bottomLeft" state="frozen"/>
      <selection pane="bottomLeft" activeCell="B56" sqref="B56"/>
    </sheetView>
  </sheetViews>
  <sheetFormatPr defaultRowHeight="12.75"/>
  <cols>
    <col min="1" max="1" width="28.140625" style="322" bestFit="1" customWidth="1"/>
    <col min="2" max="2" width="38.42578125" style="322" customWidth="1"/>
    <col min="3" max="3" width="80.42578125" style="322" customWidth="1"/>
  </cols>
  <sheetData>
    <row r="1" spans="1:4">
      <c r="A1" s="328" t="s">
        <v>286</v>
      </c>
      <c r="B1" s="328" t="s">
        <v>287</v>
      </c>
      <c r="C1" s="328" t="s">
        <v>288</v>
      </c>
      <c r="D1" s="329" t="s">
        <v>289</v>
      </c>
    </row>
    <row r="2" spans="1:4">
      <c r="A2" s="330" t="s">
        <v>290</v>
      </c>
      <c r="B2" s="330" t="s">
        <v>82</v>
      </c>
      <c r="C2" s="330" t="s">
        <v>291</v>
      </c>
      <c r="D2" s="331">
        <v>2.1</v>
      </c>
    </row>
    <row r="3" spans="1:4">
      <c r="A3" s="332"/>
      <c r="B3" s="332"/>
      <c r="C3" s="330" t="s">
        <v>292</v>
      </c>
      <c r="D3" s="331">
        <v>2.1</v>
      </c>
    </row>
    <row r="4" spans="1:4">
      <c r="A4" s="332"/>
      <c r="B4" s="332"/>
      <c r="C4" s="330" t="s">
        <v>293</v>
      </c>
      <c r="D4" s="331">
        <v>2.1</v>
      </c>
    </row>
    <row r="5" spans="1:4">
      <c r="A5" s="545"/>
      <c r="B5" s="545"/>
      <c r="C5" s="545"/>
      <c r="D5" s="545"/>
    </row>
    <row r="6" spans="1:4">
      <c r="A6" s="330" t="s">
        <v>294</v>
      </c>
      <c r="B6" s="333"/>
      <c r="C6" s="332"/>
      <c r="D6" s="331">
        <v>2.2000000000000002</v>
      </c>
    </row>
    <row r="7" spans="1:4">
      <c r="A7" s="330" t="s">
        <v>295</v>
      </c>
      <c r="B7" s="333"/>
      <c r="C7" s="330" t="s">
        <v>298</v>
      </c>
      <c r="D7" s="331">
        <v>2.2000000000000002</v>
      </c>
    </row>
    <row r="8" spans="1:4">
      <c r="A8" s="330" t="s">
        <v>296</v>
      </c>
      <c r="B8" s="333"/>
      <c r="C8" s="330" t="s">
        <v>299</v>
      </c>
      <c r="D8" s="331">
        <v>2.2000000000000002</v>
      </c>
    </row>
    <row r="9" spans="1:4">
      <c r="A9" s="332"/>
      <c r="B9" s="333"/>
      <c r="C9" s="330" t="s">
        <v>300</v>
      </c>
      <c r="D9" s="331">
        <v>2.2000000000000002</v>
      </c>
    </row>
    <row r="10" spans="1:4">
      <c r="A10" s="330" t="s">
        <v>297</v>
      </c>
      <c r="B10" s="333"/>
      <c r="C10" s="330" t="s">
        <v>301</v>
      </c>
      <c r="D10" s="331">
        <v>2.2000000000000002</v>
      </c>
    </row>
    <row r="11" spans="1:4">
      <c r="A11" s="332"/>
      <c r="B11" s="333"/>
      <c r="C11" s="330" t="s">
        <v>302</v>
      </c>
      <c r="D11" s="331">
        <v>2.2000000000000002</v>
      </c>
    </row>
    <row r="12" spans="1:4">
      <c r="A12" s="332"/>
      <c r="B12" s="333"/>
      <c r="C12" s="330" t="s">
        <v>303</v>
      </c>
      <c r="D12" s="331">
        <v>2.2000000000000002</v>
      </c>
    </row>
    <row r="13" spans="1:4">
      <c r="A13" s="330" t="s">
        <v>297</v>
      </c>
      <c r="B13" s="334" t="s">
        <v>304</v>
      </c>
      <c r="C13" s="334" t="s">
        <v>305</v>
      </c>
      <c r="D13" s="331">
        <v>2.2000000000000002</v>
      </c>
    </row>
    <row r="14" spans="1:4">
      <c r="A14" s="333"/>
      <c r="B14" s="330" t="s">
        <v>172</v>
      </c>
      <c r="C14" s="334" t="s">
        <v>306</v>
      </c>
      <c r="D14" s="331">
        <v>2.2000000000000002</v>
      </c>
    </row>
    <row r="15" spans="1:4">
      <c r="A15" s="335"/>
      <c r="B15" s="335"/>
      <c r="C15" s="336"/>
      <c r="D15" s="337"/>
    </row>
    <row r="16" spans="1:4" ht="38.25">
      <c r="A16" s="330" t="s">
        <v>297</v>
      </c>
      <c r="B16" s="338" t="s">
        <v>307</v>
      </c>
      <c r="C16" s="339" t="s">
        <v>310</v>
      </c>
      <c r="D16" s="333">
        <v>2.2999999999999998</v>
      </c>
    </row>
    <row r="17" spans="1:4">
      <c r="A17" s="545"/>
      <c r="B17" s="545"/>
      <c r="C17" s="545"/>
      <c r="D17" s="545"/>
    </row>
    <row r="18" spans="1:4" ht="51">
      <c r="A18" s="330" t="s">
        <v>308</v>
      </c>
      <c r="B18" s="338" t="s">
        <v>309</v>
      </c>
      <c r="C18" s="339" t="s">
        <v>312</v>
      </c>
      <c r="D18" s="333">
        <v>2.4</v>
      </c>
    </row>
    <row r="19" spans="1:4">
      <c r="A19" s="545"/>
      <c r="B19" s="545"/>
      <c r="C19" s="545"/>
      <c r="D19" s="545"/>
    </row>
    <row r="20" spans="1:4" ht="38.25">
      <c r="A20" s="338" t="s">
        <v>296</v>
      </c>
      <c r="B20" s="338" t="s">
        <v>311</v>
      </c>
      <c r="C20" s="339" t="s">
        <v>313</v>
      </c>
      <c r="D20" s="333">
        <v>2.5</v>
      </c>
    </row>
    <row r="21" spans="1:4" ht="25.5">
      <c r="A21" s="338" t="s">
        <v>297</v>
      </c>
      <c r="B21" s="338" t="s">
        <v>315</v>
      </c>
      <c r="C21" s="339" t="s">
        <v>314</v>
      </c>
      <c r="D21" s="333">
        <v>2.5</v>
      </c>
    </row>
    <row r="22" spans="1:4" ht="25.5">
      <c r="A22" s="338" t="s">
        <v>290</v>
      </c>
      <c r="B22" s="338" t="s">
        <v>58</v>
      </c>
      <c r="C22" s="339" t="s">
        <v>316</v>
      </c>
      <c r="D22" s="333">
        <v>2.5</v>
      </c>
    </row>
    <row r="23" spans="1:4">
      <c r="A23" s="545"/>
      <c r="B23" s="545"/>
      <c r="C23" s="545"/>
      <c r="D23" s="545"/>
    </row>
    <row r="24" spans="1:4" ht="25.5">
      <c r="A24" s="338" t="s">
        <v>297</v>
      </c>
      <c r="B24" s="338" t="s">
        <v>317</v>
      </c>
      <c r="C24" s="339" t="s">
        <v>318</v>
      </c>
      <c r="D24" s="333">
        <v>2.6</v>
      </c>
    </row>
    <row r="25" spans="1:4" ht="76.5">
      <c r="A25" s="339" t="s">
        <v>319</v>
      </c>
      <c r="B25" s="338" t="s">
        <v>24</v>
      </c>
      <c r="C25" s="339" t="s">
        <v>320</v>
      </c>
      <c r="D25" s="333">
        <v>2.6</v>
      </c>
    </row>
    <row r="26" spans="1:4" ht="89.25">
      <c r="A26" s="333" t="s">
        <v>297</v>
      </c>
      <c r="B26" s="338" t="s">
        <v>245</v>
      </c>
      <c r="C26" s="339" t="s">
        <v>328</v>
      </c>
      <c r="D26" s="333">
        <v>2.6</v>
      </c>
    </row>
    <row r="27" spans="1:4" ht="89.25">
      <c r="A27" s="333"/>
      <c r="B27" s="338"/>
      <c r="C27" s="339" t="s">
        <v>329</v>
      </c>
      <c r="D27" s="333">
        <v>2.6</v>
      </c>
    </row>
    <row r="28" spans="1:4">
      <c r="A28" s="333" t="s">
        <v>308</v>
      </c>
      <c r="B28" s="338" t="s">
        <v>321</v>
      </c>
      <c r="C28" s="338" t="s">
        <v>322</v>
      </c>
      <c r="D28" s="333">
        <v>2.6</v>
      </c>
    </row>
    <row r="29" spans="1:4" ht="51">
      <c r="A29" s="338" t="s">
        <v>296</v>
      </c>
      <c r="B29" s="339" t="s">
        <v>324</v>
      </c>
      <c r="C29" s="339" t="s">
        <v>323</v>
      </c>
      <c r="D29" s="333">
        <v>2.6</v>
      </c>
    </row>
    <row r="30" spans="1:4">
      <c r="A30" s="545"/>
      <c r="B30" s="545"/>
      <c r="C30" s="545"/>
      <c r="D30" s="545"/>
    </row>
    <row r="31" spans="1:4">
      <c r="A31" s="338" t="s">
        <v>297</v>
      </c>
      <c r="B31" s="338" t="s">
        <v>334</v>
      </c>
      <c r="C31" s="339" t="s">
        <v>335</v>
      </c>
      <c r="D31" s="333">
        <v>2.7</v>
      </c>
    </row>
    <row r="32" spans="1:4">
      <c r="A32" s="338" t="s">
        <v>297</v>
      </c>
      <c r="B32" s="338" t="s">
        <v>81</v>
      </c>
      <c r="C32" s="339" t="s">
        <v>336</v>
      </c>
      <c r="D32" s="333">
        <v>2.7</v>
      </c>
    </row>
    <row r="33" spans="1:6">
      <c r="A33" s="338" t="s">
        <v>337</v>
      </c>
      <c r="B33" s="338" t="s">
        <v>338</v>
      </c>
      <c r="C33" s="339" t="s">
        <v>339</v>
      </c>
      <c r="D33" s="333">
        <v>2.7</v>
      </c>
    </row>
    <row r="34" spans="1:6">
      <c r="A34" s="338" t="s">
        <v>340</v>
      </c>
      <c r="B34" s="338" t="s">
        <v>341</v>
      </c>
      <c r="C34" s="339" t="s">
        <v>342</v>
      </c>
      <c r="D34" s="333">
        <v>2.7</v>
      </c>
    </row>
    <row r="35" spans="1:6">
      <c r="A35" s="338" t="s">
        <v>343</v>
      </c>
      <c r="B35" s="338" t="s">
        <v>344</v>
      </c>
      <c r="C35" s="339" t="s">
        <v>345</v>
      </c>
      <c r="D35" s="333">
        <v>2.7</v>
      </c>
    </row>
    <row r="36" spans="1:6">
      <c r="A36" s="338" t="s">
        <v>343</v>
      </c>
      <c r="B36" s="338" t="s">
        <v>344</v>
      </c>
      <c r="C36" s="339" t="s">
        <v>346</v>
      </c>
      <c r="D36" s="333">
        <v>2.7</v>
      </c>
    </row>
    <row r="37" spans="1:6">
      <c r="A37" s="338" t="s">
        <v>296</v>
      </c>
      <c r="B37" s="338" t="s">
        <v>347</v>
      </c>
      <c r="C37" s="339" t="s">
        <v>348</v>
      </c>
      <c r="D37" s="333">
        <v>2.7</v>
      </c>
    </row>
    <row r="38" spans="1:6">
      <c r="A38" s="545"/>
      <c r="B38" s="545"/>
      <c r="C38" s="545"/>
      <c r="D38" s="545"/>
    </row>
    <row r="39" spans="1:6" ht="25.5">
      <c r="A39" s="338" t="s">
        <v>349</v>
      </c>
      <c r="B39" s="339" t="s">
        <v>350</v>
      </c>
      <c r="C39" s="338" t="s">
        <v>351</v>
      </c>
      <c r="D39" s="333">
        <v>2.8</v>
      </c>
    </row>
    <row r="40" spans="1:6" ht="25.5">
      <c r="A40" s="338" t="s">
        <v>349</v>
      </c>
      <c r="B40" s="339" t="s">
        <v>352</v>
      </c>
      <c r="C40" s="338" t="s">
        <v>355</v>
      </c>
      <c r="D40" s="333">
        <v>2.8</v>
      </c>
    </row>
    <row r="41" spans="1:6" ht="25.5">
      <c r="A41" s="338" t="s">
        <v>349</v>
      </c>
      <c r="B41" s="339" t="s">
        <v>353</v>
      </c>
      <c r="C41" s="338" t="s">
        <v>356</v>
      </c>
      <c r="D41" s="333">
        <v>2.8</v>
      </c>
    </row>
    <row r="42" spans="1:6" ht="25.5">
      <c r="A42" s="338" t="s">
        <v>349</v>
      </c>
      <c r="B42" s="339" t="s">
        <v>354</v>
      </c>
      <c r="C42" s="338" t="s">
        <v>356</v>
      </c>
      <c r="D42" s="333">
        <v>2.8</v>
      </c>
    </row>
    <row r="43" spans="1:6" ht="25.5">
      <c r="A43" s="338" t="s">
        <v>340</v>
      </c>
      <c r="B43" s="339" t="s">
        <v>350</v>
      </c>
      <c r="C43" s="338" t="s">
        <v>351</v>
      </c>
      <c r="D43" s="333">
        <v>2.8</v>
      </c>
    </row>
    <row r="44" spans="1:6" ht="25.5">
      <c r="A44" s="338" t="s">
        <v>340</v>
      </c>
      <c r="B44" s="339" t="s">
        <v>352</v>
      </c>
      <c r="C44" s="338" t="s">
        <v>355</v>
      </c>
      <c r="D44" s="333">
        <v>2.8</v>
      </c>
    </row>
    <row r="45" spans="1:6" ht="25.5">
      <c r="A45" s="338" t="s">
        <v>340</v>
      </c>
      <c r="B45" s="339" t="s">
        <v>353</v>
      </c>
      <c r="C45" s="338" t="s">
        <v>356</v>
      </c>
      <c r="D45" s="333">
        <v>2.8</v>
      </c>
    </row>
    <row r="46" spans="1:6" ht="25.5">
      <c r="A46" s="338" t="s">
        <v>340</v>
      </c>
      <c r="B46" s="339" t="s">
        <v>354</v>
      </c>
      <c r="C46" s="338" t="s">
        <v>356</v>
      </c>
      <c r="D46" s="333">
        <v>2.8</v>
      </c>
    </row>
    <row r="47" spans="1:6">
      <c r="A47" s="545"/>
      <c r="B47" s="545"/>
      <c r="C47" s="545"/>
      <c r="D47" s="545"/>
    </row>
    <row r="48" spans="1:6" ht="25.5">
      <c r="A48" s="338" t="s">
        <v>308</v>
      </c>
      <c r="B48" s="339" t="s">
        <v>386</v>
      </c>
      <c r="C48" s="339" t="s">
        <v>387</v>
      </c>
      <c r="D48" s="333">
        <v>2.9</v>
      </c>
      <c r="E48" s="340"/>
      <c r="F48" s="340"/>
    </row>
    <row r="49" spans="1:6" ht="25.5">
      <c r="A49" s="338" t="s">
        <v>308</v>
      </c>
      <c r="B49" s="339" t="s">
        <v>388</v>
      </c>
      <c r="C49" s="339" t="s">
        <v>389</v>
      </c>
      <c r="D49" s="333">
        <v>2.9</v>
      </c>
      <c r="E49" s="340"/>
      <c r="F49" s="340"/>
    </row>
    <row r="50" spans="1:6" ht="15">
      <c r="A50" s="338" t="s">
        <v>308</v>
      </c>
      <c r="B50" s="339" t="s">
        <v>390</v>
      </c>
      <c r="C50" s="339" t="s">
        <v>387</v>
      </c>
      <c r="D50" s="333">
        <v>2.9</v>
      </c>
      <c r="E50" s="340"/>
      <c r="F50" s="340"/>
    </row>
    <row r="51" spans="1:6" ht="25.5">
      <c r="A51" s="338" t="s">
        <v>308</v>
      </c>
      <c r="B51" s="339" t="s">
        <v>391</v>
      </c>
      <c r="C51" s="339" t="s">
        <v>387</v>
      </c>
      <c r="D51" s="333">
        <v>2.9</v>
      </c>
      <c r="E51" s="340"/>
      <c r="F51" s="340"/>
    </row>
    <row r="52" spans="1:6">
      <c r="A52" s="338" t="s">
        <v>308</v>
      </c>
      <c r="B52" s="339" t="s">
        <v>392</v>
      </c>
      <c r="C52" s="339" t="s">
        <v>393</v>
      </c>
      <c r="D52" s="333">
        <v>2.9</v>
      </c>
    </row>
    <row r="53" spans="1:6">
      <c r="A53" s="338" t="s">
        <v>297</v>
      </c>
      <c r="B53" s="339" t="s">
        <v>394</v>
      </c>
      <c r="C53" s="339" t="s">
        <v>395</v>
      </c>
      <c r="D53" s="333">
        <v>2.9</v>
      </c>
    </row>
    <row r="54" spans="1:6" ht="25.5">
      <c r="A54" s="338" t="s">
        <v>297</v>
      </c>
      <c r="B54" s="339" t="s">
        <v>394</v>
      </c>
      <c r="C54" s="339" t="s">
        <v>396</v>
      </c>
      <c r="D54" s="333">
        <v>2.9</v>
      </c>
    </row>
    <row r="55" spans="1:6" ht="25.5">
      <c r="A55" s="338" t="s">
        <v>297</v>
      </c>
      <c r="B55" s="339" t="s">
        <v>410</v>
      </c>
      <c r="C55" s="339" t="s">
        <v>409</v>
      </c>
      <c r="D55" s="333">
        <v>2.9</v>
      </c>
    </row>
    <row r="56" spans="1:6">
      <c r="A56" s="338" t="s">
        <v>290</v>
      </c>
      <c r="B56" s="339" t="s">
        <v>397</v>
      </c>
      <c r="C56" s="339" t="s">
        <v>398</v>
      </c>
      <c r="D56" s="333">
        <v>2.9</v>
      </c>
    </row>
    <row r="57" spans="1:6" ht="25.5">
      <c r="A57" s="338" t="s">
        <v>290</v>
      </c>
      <c r="B57" s="339" t="s">
        <v>399</v>
      </c>
      <c r="C57" s="339" t="s">
        <v>400</v>
      </c>
      <c r="D57" s="333">
        <v>2.9</v>
      </c>
    </row>
    <row r="58" spans="1:6" ht="25.5">
      <c r="A58" s="338" t="s">
        <v>290</v>
      </c>
      <c r="B58" s="339" t="s">
        <v>401</v>
      </c>
      <c r="C58" s="339" t="s">
        <v>387</v>
      </c>
      <c r="D58" s="333">
        <v>2.9</v>
      </c>
    </row>
    <row r="59" spans="1:6">
      <c r="A59" s="338" t="s">
        <v>290</v>
      </c>
      <c r="B59" s="339" t="s">
        <v>402</v>
      </c>
      <c r="C59" s="339" t="s">
        <v>387</v>
      </c>
      <c r="D59" s="333">
        <v>2.9</v>
      </c>
    </row>
    <row r="60" spans="1:6">
      <c r="A60" s="338" t="s">
        <v>296</v>
      </c>
      <c r="B60" s="339" t="s">
        <v>403</v>
      </c>
      <c r="C60" s="339" t="s">
        <v>404</v>
      </c>
      <c r="D60" s="333">
        <v>2.9</v>
      </c>
    </row>
    <row r="61" spans="1:6">
      <c r="A61" s="338" t="s">
        <v>296</v>
      </c>
      <c r="B61" s="339" t="s">
        <v>390</v>
      </c>
      <c r="C61" s="339" t="s">
        <v>404</v>
      </c>
      <c r="D61" s="333">
        <v>2.9</v>
      </c>
    </row>
    <row r="62" spans="1:6">
      <c r="A62" s="338" t="s">
        <v>296</v>
      </c>
      <c r="B62" s="339" t="s">
        <v>363</v>
      </c>
      <c r="C62" s="339" t="s">
        <v>387</v>
      </c>
      <c r="D62" s="333">
        <v>2.9</v>
      </c>
    </row>
    <row r="63" spans="1:6">
      <c r="A63" s="338" t="s">
        <v>296</v>
      </c>
      <c r="B63" s="339" t="s">
        <v>405</v>
      </c>
      <c r="C63" s="339" t="s">
        <v>404</v>
      </c>
      <c r="D63" s="333">
        <v>2.9</v>
      </c>
    </row>
    <row r="64" spans="1:6" ht="25.5">
      <c r="A64" s="338" t="s">
        <v>406</v>
      </c>
      <c r="B64" s="339" t="s">
        <v>383</v>
      </c>
      <c r="C64" s="339" t="s">
        <v>407</v>
      </c>
      <c r="D64" s="333">
        <v>2.9</v>
      </c>
    </row>
    <row r="65" spans="1:4" ht="25.5">
      <c r="A65" s="338" t="s">
        <v>406</v>
      </c>
      <c r="B65" s="339" t="s">
        <v>403</v>
      </c>
      <c r="C65" s="339" t="s">
        <v>408</v>
      </c>
      <c r="D65" s="333">
        <v>2.9</v>
      </c>
    </row>
    <row r="66" spans="1:4">
      <c r="A66" s="338" t="s">
        <v>406</v>
      </c>
      <c r="B66" s="339" t="s">
        <v>390</v>
      </c>
      <c r="C66" s="339" t="s">
        <v>387</v>
      </c>
      <c r="D66" s="333">
        <v>2.9</v>
      </c>
    </row>
  </sheetData>
  <sheetProtection algorithmName="SHA-512" hashValue="OQnIotJTFmnrKCQ7IwGsQgFBrcbOR0KJ7fuT1yGymZeSD4h5JUYZuwfYraPhlkSBKnJjFAFEGbXLC2jh0r2Jwg==" saltValue="SoSXDOvZbT4/UDfUMRv2Qg==" spinCount="100000" sheet="1" objects="1" scenarios="1" selectLockedCells="1"/>
  <mergeCells count="7">
    <mergeCell ref="A47:D47"/>
    <mergeCell ref="A5:D5"/>
    <mergeCell ref="A38:D38"/>
    <mergeCell ref="A30:D30"/>
    <mergeCell ref="A23:D23"/>
    <mergeCell ref="A19:D19"/>
    <mergeCell ref="A17: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93F35A-D36F-41F2-AA7C-BBDAFC43899A}">
  <ds:schemaRefs>
    <ds:schemaRef ds:uri="http://schemas.microsoft.com/sharepoint/events"/>
  </ds:schemaRefs>
</ds:datastoreItem>
</file>

<file path=customXml/itemProps2.xml><?xml version="1.0" encoding="utf-8"?>
<ds:datastoreItem xmlns:ds="http://schemas.openxmlformats.org/officeDocument/2006/customXml" ds:itemID="{C4454C61-4D14-4D69-B2B5-D2C4E936529E}">
  <ds:schemaRefs>
    <ds:schemaRef ds:uri="http://schemas.microsoft.com/office/2006/metadata/properties"/>
    <ds:schemaRef ds:uri="http://purl.org/dc/terms/"/>
    <ds:schemaRef ds:uri="http://schemas.microsoft.com/office/2006/documentManagement/types"/>
    <ds:schemaRef ds:uri="http://schemas.microsoft.com/office/infopath/2007/PartnerControls"/>
    <ds:schemaRef ds:uri="http://www.w3.org/XML/1998/namespace"/>
    <ds:schemaRef ds:uri="http://purl.org/dc/elements/1.1/"/>
    <ds:schemaRef ds:uri="http://purl.org/dc/dcmitype/"/>
    <ds:schemaRef ds:uri="http://schemas.openxmlformats.org/package/2006/metadata/core-properties"/>
    <ds:schemaRef ds:uri="3d7a820e-06ac-459d-922d-03596f51b4a4"/>
  </ds:schemaRefs>
</ds:datastoreItem>
</file>

<file path=customXml/itemProps3.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4.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1c35869-6495-4b3a-952e-bc5e37f13032}" enabled="1" method="Standard" siteId="{c663f89c-ef9b-418f-bd3d-41e46c0ce06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START</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DetailedEstWeightedValues!Print_Area</vt:lpstr>
      <vt:lpstr>'Dtl BA_Considerations'!Print_Area</vt:lpstr>
      <vt:lpstr>'Dtl Collaboration_Quality'!Print_Area</vt:lpstr>
      <vt:lpstr>'Dtl EstimateSummary'!Print_Area</vt:lpstr>
      <vt:lpstr>'Dtl SE_ModuleDoco'!Print_Area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Anderson, Donna</cp:lastModifiedBy>
  <cp:lastPrinted>2019-11-05T19:55:13Z</cp:lastPrinted>
  <dcterms:created xsi:type="dcterms:W3CDTF">1998-11-09T19:01:37Z</dcterms:created>
  <dcterms:modified xsi:type="dcterms:W3CDTF">2026-05-28T15:26:11Z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